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defaultThemeVersion="202300"/>
  <mc:AlternateContent xmlns:mc="http://schemas.openxmlformats.org/markup-compatibility/2006">
    <mc:Choice Requires="x15">
      <x15ac:absPath xmlns:x15ac="http://schemas.microsoft.com/office/spreadsheetml/2010/11/ac" url="\\Mac\Home\Downloads\2900_Australia_Future E&amp;C\01_Connection Planung\"/>
    </mc:Choice>
  </mc:AlternateContent>
  <xr:revisionPtr revIDLastSave="0" documentId="13_ncr:1_{21124740-3860-44C8-B801-6C6BD64CCAA1}" xr6:coauthVersionLast="47" xr6:coauthVersionMax="47" xr10:uidLastSave="{00000000-0000-0000-0000-000000000000}"/>
  <bookViews>
    <workbookView xWindow="-98" yWindow="277" windowWidth="21795" windowHeight="12361" tabRatio="500" xr2:uid="{00000000-000D-0000-FFFF-FFFF00000000}"/>
  </bookViews>
  <sheets>
    <sheet name="Manufacturing_Plan" sheetId="1" r:id="rId1"/>
    <sheet name="Connection_Plan" sheetId="2" r:id="rId2"/>
    <sheet name="Soldering_Plan" sheetId="3" r:id="rId3"/>
    <sheet name="P_touch_Labelling" sheetId="4" r:id="rId4"/>
  </sheets>
  <functionGroups builtInGroupCount="19"/>
  <definedNames>
    <definedName name="Anemometer">Manufacturing_Plan!$C$69:$C$72</definedName>
    <definedName name="_xlnm.Print_Area" localSheetId="1">Connection_Plan!$A$1:$G$94</definedName>
    <definedName name="_xlnm.Print_Area" localSheetId="0">Manufacturing_Plan!$A$4:$P$59</definedName>
    <definedName name="_xlnm.Print_Area" localSheetId="2">Soldering_Plan!$A$56:$N$63</definedName>
    <definedName name="_xlnm.Print_Titles" localSheetId="2">Soldering_Plan!$1:$1</definedName>
    <definedName name="Temperature_sensor">Manufacturing_Plan!$G$69:$G$72</definedName>
    <definedName name="Wind_vane">Manufacturing_Plan!$D$69:$D$72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9" i="3" l="1"/>
  <c r="B26" i="3"/>
  <c r="C36" i="2"/>
  <c r="C33" i="2"/>
  <c r="B60" i="3"/>
  <c r="B56" i="3"/>
  <c r="B50" i="3"/>
  <c r="B44" i="3"/>
  <c r="B40" i="3"/>
  <c r="B36" i="3"/>
  <c r="B32" i="3"/>
  <c r="B23" i="3"/>
  <c r="B20" i="3"/>
  <c r="B17" i="3"/>
  <c r="B14" i="3"/>
  <c r="B11" i="3"/>
  <c r="B8" i="3"/>
  <c r="B5" i="3"/>
  <c r="B2" i="3"/>
  <c r="C30" i="2"/>
  <c r="C27" i="2"/>
  <c r="C24" i="2"/>
  <c r="C21" i="2"/>
  <c r="C18" i="2"/>
  <c r="C15" i="2"/>
  <c r="C12" i="2"/>
  <c r="C9" i="2"/>
  <c r="B3" i="2"/>
</calcChain>
</file>

<file path=xl/sharedStrings.xml><?xml version="1.0" encoding="utf-8"?>
<sst xmlns="http://schemas.openxmlformats.org/spreadsheetml/2006/main" count="682" uniqueCount="260">
  <si>
    <t>ProfEC Ventus Measurement System Plan</t>
  </si>
  <si>
    <t>To open database file:</t>
  </si>
  <si>
    <r>
      <rPr>
        <b/>
        <sz val="11"/>
        <rFont val="Arial"/>
        <family val="2"/>
        <charset val="1"/>
      </rPr>
      <t xml:space="preserve">To clear </t>
    </r>
    <r>
      <rPr>
        <b/>
        <i/>
        <sz val="11"/>
        <rFont val="Arial"/>
        <family val="2"/>
        <charset val="1"/>
      </rPr>
      <t>Manufacturing_Plan</t>
    </r>
    <r>
      <rPr>
        <b/>
        <sz val="11"/>
        <rFont val="Arial"/>
        <family val="2"/>
        <charset val="1"/>
      </rPr>
      <t xml:space="preserve"> sheet:</t>
    </r>
  </si>
  <si>
    <t>After filling the required sensor information:</t>
  </si>
  <si>
    <r>
      <rPr>
        <b/>
        <sz val="11"/>
        <rFont val="Arial"/>
        <family val="2"/>
        <charset val="1"/>
      </rPr>
      <t xml:space="preserve">To update </t>
    </r>
    <r>
      <rPr>
        <b/>
        <i/>
        <sz val="11"/>
        <rFont val="Arial"/>
        <family val="2"/>
        <charset val="1"/>
      </rPr>
      <t>Connection_Plan</t>
    </r>
    <r>
      <rPr>
        <b/>
        <sz val="11"/>
        <rFont val="Arial"/>
        <family val="2"/>
        <charset val="1"/>
      </rPr>
      <t xml:space="preserve"> sheet:</t>
    </r>
  </si>
  <si>
    <t>Note:</t>
  </si>
  <si>
    <t>(Place open button here)</t>
  </si>
  <si>
    <t>(Place clear button here)</t>
  </si>
  <si>
    <t>(Place update button here)</t>
  </si>
  <si>
    <t>To be filled manually</t>
  </si>
  <si>
    <t>Project Manufacturing Plan</t>
  </si>
  <si>
    <t>Project Information</t>
  </si>
  <si>
    <t>Project N°:</t>
  </si>
  <si>
    <t>Person in Charge</t>
  </si>
  <si>
    <t>Responsible Configuration</t>
  </si>
  <si>
    <t>VZ</t>
  </si>
  <si>
    <t>General Remarks</t>
  </si>
  <si>
    <t>Print Connection Plan</t>
  </si>
  <si>
    <t>Invoice N°:</t>
  </si>
  <si>
    <t>Responsible Manufacturing</t>
  </si>
  <si>
    <t>Print Packing List</t>
  </si>
  <si>
    <t>Country:</t>
  </si>
  <si>
    <t>AUS</t>
  </si>
  <si>
    <t>Responsible for Assemble</t>
  </si>
  <si>
    <t>IE</t>
  </si>
  <si>
    <t>Fill Quality Control</t>
  </si>
  <si>
    <t>System:</t>
  </si>
  <si>
    <t>of 1</t>
  </si>
  <si>
    <t>Approx. Delivery Date</t>
  </si>
  <si>
    <t>Client:</t>
  </si>
  <si>
    <t>Future E&amp;C</t>
  </si>
  <si>
    <t>No.</t>
  </si>
  <si>
    <t>Sensor Type</t>
  </si>
  <si>
    <t>Ordered Device</t>
  </si>
  <si>
    <t>Type/Model Nr.</t>
  </si>
  <si>
    <t>Sensor Nom.</t>
  </si>
  <si>
    <t>Calibrated</t>
  </si>
  <si>
    <t>Cable</t>
  </si>
  <si>
    <t>Length [m]</t>
  </si>
  <si>
    <t>Installation Height [m]</t>
  </si>
  <si>
    <t>Serial Number</t>
  </si>
  <si>
    <t>Calibration Certificate No.</t>
  </si>
  <si>
    <t>Slope (m/s)/(Hz)</t>
  </si>
  <si>
    <t>Offset (m/s)</t>
  </si>
  <si>
    <t>Tested</t>
  </si>
  <si>
    <t>Comment Production</t>
  </si>
  <si>
    <t>Anemometer</t>
  </si>
  <si>
    <t xml:space="preserve">Thies First Class UNHEATED </t>
  </si>
  <si>
    <t>4.3352.10.000</t>
  </si>
  <si>
    <t>V</t>
  </si>
  <si>
    <t>Yes</t>
  </si>
  <si>
    <t>Wind Vane</t>
  </si>
  <si>
    <t xml:space="preserve">Thies Compact UNHEATED </t>
  </si>
  <si>
    <t>4.3129.70.773</t>
  </si>
  <si>
    <t>D</t>
  </si>
  <si>
    <t>No</t>
  </si>
  <si>
    <t>-</t>
  </si>
  <si>
    <t>Temperature and Humidity</t>
  </si>
  <si>
    <t xml:space="preserve">Galltec+mela </t>
  </si>
  <si>
    <t>KPC1.S/6-ME</t>
  </si>
  <si>
    <t>TH</t>
  </si>
  <si>
    <t>Barometer</t>
  </si>
  <si>
    <t xml:space="preserve">Thies </t>
  </si>
  <si>
    <t>3.1157.10.000</t>
  </si>
  <si>
    <t>P</t>
  </si>
  <si>
    <t>Equipment</t>
  </si>
  <si>
    <t>Mounting System</t>
  </si>
  <si>
    <t>Power Supply</t>
  </si>
  <si>
    <t>Datalogger</t>
  </si>
  <si>
    <r>
      <rPr>
        <sz val="12"/>
        <rFont val="Arial"/>
        <family val="2"/>
        <charset val="1"/>
      </rPr>
      <t>Shelter Box</t>
    </r>
    <r>
      <rPr>
        <b/>
        <sz val="12"/>
        <rFont val="Arial"/>
        <family val="2"/>
        <charset val="1"/>
      </rPr>
      <t xml:space="preserve"> (AX 1054.000 600x600x250mm)</t>
    </r>
  </si>
  <si>
    <t>X</t>
  </si>
  <si>
    <t>Power Supply System Standard</t>
  </si>
  <si>
    <t>Mounting rails</t>
  </si>
  <si>
    <t>Radiation Shield</t>
  </si>
  <si>
    <t>RADSLD+BARO</t>
  </si>
  <si>
    <t>Qty 2</t>
  </si>
  <si>
    <t>Instructions for mounting system</t>
  </si>
  <si>
    <t>1x Battery 12V 50Ah</t>
  </si>
  <si>
    <t>Earth cable</t>
  </si>
  <si>
    <t>Modem</t>
  </si>
  <si>
    <t>Qty 1</t>
  </si>
  <si>
    <t>Additionals</t>
  </si>
  <si>
    <t>Power Supply Aviation Security Advanced</t>
  </si>
  <si>
    <t>Additional lock on cabinet</t>
  </si>
  <si>
    <t>1x Victron BlueSolar MPPT 100/15</t>
  </si>
  <si>
    <t>Modem Accs.</t>
  </si>
  <si>
    <t>Uni-directional antenna, 11 dBi amplifying</t>
  </si>
  <si>
    <t>Caps on cable holes on cabinet</t>
  </si>
  <si>
    <t>Condensation plugs on cabinet</t>
  </si>
  <si>
    <t>2x 50Wp SolarPanel</t>
  </si>
  <si>
    <t>Wind Vane Accs.</t>
  </si>
  <si>
    <t>Surge and Discharge Isolator 
Thies Compact Sensor</t>
  </si>
  <si>
    <t>Qty 3</t>
  </si>
  <si>
    <t>Pressure plugs on cabinet</t>
  </si>
  <si>
    <t>CONNECTION PLAN</t>
  </si>
  <si>
    <t>Project ext:</t>
  </si>
  <si>
    <t>Sensor</t>
  </si>
  <si>
    <t>Labelling</t>
  </si>
  <si>
    <t>Channel</t>
  </si>
  <si>
    <t>Terminal</t>
  </si>
  <si>
    <t>Color</t>
  </si>
  <si>
    <t>Function</t>
  </si>
  <si>
    <t>Thies First Class UNHEATED  Anemometer 4.3352.10.000</t>
  </si>
  <si>
    <t>12V L</t>
  </si>
  <si>
    <t>Voltage Supply</t>
  </si>
  <si>
    <t>GND L</t>
  </si>
  <si>
    <t xml:space="preserve">Ground </t>
  </si>
  <si>
    <t>P1</t>
  </si>
  <si>
    <t>Signal</t>
  </si>
  <si>
    <t>P2</t>
  </si>
  <si>
    <t>C1</t>
  </si>
  <si>
    <t>C2</t>
  </si>
  <si>
    <t>C3</t>
  </si>
  <si>
    <t>C4</t>
  </si>
  <si>
    <t>C5</t>
  </si>
  <si>
    <t>C6</t>
  </si>
  <si>
    <t>C7</t>
  </si>
  <si>
    <t>G</t>
  </si>
  <si>
    <t>Ground</t>
  </si>
  <si>
    <t>Thies Compact UNHEATED  Wind Vane 4.3129.70.773</t>
  </si>
  <si>
    <t>DIFF 1</t>
  </si>
  <si>
    <t>SE 1</t>
  </si>
  <si>
    <t>Voltage Output</t>
  </si>
  <si>
    <t>SE 2</t>
  </si>
  <si>
    <t>Analogue Ground</t>
  </si>
  <si>
    <t>DIFF 2</t>
  </si>
  <si>
    <t>SE 3</t>
  </si>
  <si>
    <t>SE 4</t>
  </si>
  <si>
    <t>DIFF 3</t>
  </si>
  <si>
    <t>SE 5</t>
  </si>
  <si>
    <t>SE 6</t>
  </si>
  <si>
    <t>Galltec+mela  Temperature and Humidity KPC1.S/6-ME</t>
  </si>
  <si>
    <t>DIFF 4 / DIFF 5</t>
  </si>
  <si>
    <t>SE 10</t>
  </si>
  <si>
    <t>Hum Signal -</t>
  </si>
  <si>
    <t>SE 9</t>
  </si>
  <si>
    <t>Hum Signal +</t>
  </si>
  <si>
    <t>SE 7</t>
  </si>
  <si>
    <t>Temp Signal +</t>
  </si>
  <si>
    <t>SE 8</t>
  </si>
  <si>
    <t>Temp Signal -</t>
  </si>
  <si>
    <t>DIFF 6 / DIFF 7</t>
  </si>
  <si>
    <t>SE 14</t>
  </si>
  <si>
    <t>SE 13</t>
  </si>
  <si>
    <t>SE 11</t>
  </si>
  <si>
    <t>SE 12</t>
  </si>
  <si>
    <t>Thies  Barometer 3.1157.10.000</t>
  </si>
  <si>
    <t>SE 15</t>
  </si>
  <si>
    <t>SE 16</t>
  </si>
  <si>
    <t>Relay Connection</t>
  </si>
  <si>
    <t>S12</t>
  </si>
  <si>
    <t>A1</t>
  </si>
  <si>
    <t>to</t>
  </si>
  <si>
    <t>A2</t>
  </si>
  <si>
    <t>Fuse 3A</t>
  </si>
  <si>
    <t>12 V</t>
  </si>
  <si>
    <t>Modem - Supply</t>
  </si>
  <si>
    <t>Power Cable</t>
  </si>
  <si>
    <t>MOD +</t>
  </si>
  <si>
    <t>Voltage Supply 12V</t>
  </si>
  <si>
    <t>MOD -</t>
  </si>
  <si>
    <t>Data Cable</t>
  </si>
  <si>
    <t>LAN1 (Modem)</t>
  </si>
  <si>
    <t>Ethernet (Data logger)</t>
  </si>
  <si>
    <t>Charge Controller Victron MPPT 100/15</t>
  </si>
  <si>
    <t>12V B</t>
  </si>
  <si>
    <t>GND B</t>
  </si>
  <si>
    <t>Solar Panel 50Wp</t>
  </si>
  <si>
    <t>PA+</t>
  </si>
  <si>
    <t>PA-</t>
  </si>
  <si>
    <t>System assembled and tested according to connection plan:</t>
  </si>
  <si>
    <t>Approved by:</t>
  </si>
  <si>
    <t>Date:</t>
  </si>
  <si>
    <t>For spare parts, technical problems or questions:</t>
  </si>
  <si>
    <t>https://shop.profec-ventus.com</t>
  </si>
  <si>
    <t>For Bankable Wind Energy Consulting and Accredited Advise:</t>
  </si>
  <si>
    <t>http://www.profec-ventus.com</t>
  </si>
  <si>
    <t>Cut</t>
  </si>
  <si>
    <t>Sensor_Name</t>
  </si>
  <si>
    <t>Model_Nr.</t>
  </si>
  <si>
    <t>Wire_Color</t>
  </si>
  <si>
    <t xml:space="preserve">Pin_No. </t>
  </si>
  <si>
    <t>Connector_Type</t>
  </si>
  <si>
    <t>Connector_Image</t>
  </si>
  <si>
    <t>Cable_Type</t>
  </si>
  <si>
    <t>Comments</t>
  </si>
  <si>
    <t>Manufactured</t>
  </si>
  <si>
    <t>White</t>
  </si>
  <si>
    <t>Female: Lumberg, Serial 322 08-1, 8 pins</t>
  </si>
  <si>
    <t>3 x 0.25 mm2</t>
  </si>
  <si>
    <t xml:space="preserve">Brown </t>
  </si>
  <si>
    <t>Green</t>
  </si>
  <si>
    <t>Female: Lumberg, Serial 322 07, 7 pins</t>
  </si>
  <si>
    <t>4 x 0.25 mm2</t>
  </si>
  <si>
    <t>Yellow</t>
  </si>
  <si>
    <t>6 x 0.25 mm2</t>
  </si>
  <si>
    <t>Brown</t>
  </si>
  <si>
    <t>Gray</t>
  </si>
  <si>
    <t>Pink</t>
  </si>
  <si>
    <t>No connector needed</t>
  </si>
  <si>
    <t>First week of June</t>
  </si>
  <si>
    <t>2900-2024</t>
  </si>
  <si>
    <t>2900_SEN_INV_AU_Future E&amp;C</t>
  </si>
  <si>
    <t>Campbell Scientific PV1000X</t>
  </si>
  <si>
    <t>Teltonika RUT241 Router LTE</t>
  </si>
  <si>
    <t>1x 50Wp SolarPanel</t>
  </si>
  <si>
    <t>Teltonika Modem RUT241</t>
  </si>
  <si>
    <t>CH</t>
  </si>
  <si>
    <t>16.05.2024</t>
  </si>
  <si>
    <t>2900-1-AUS-V1-160m</t>
  </si>
  <si>
    <t>2900-1-AUS-V2-160m</t>
  </si>
  <si>
    <t>2900-1-AUS-V3-130m</t>
  </si>
  <si>
    <t>2900-1-AUS-V4-130m</t>
  </si>
  <si>
    <t>2900-1-AUS-V5-110m</t>
  </si>
  <si>
    <t>2900-1-AUS-V6-110m</t>
  </si>
  <si>
    <t>2900-1-AUS-V7-90m</t>
  </si>
  <si>
    <t>2900-1-AUS-V8-90m</t>
  </si>
  <si>
    <t>2900-1-AUS-V9-40m</t>
  </si>
  <si>
    <t>2900-1-AUS-V10-40m</t>
  </si>
  <si>
    <t>2900-1-AUS-D1-155m</t>
  </si>
  <si>
    <t>2900-1-AUS-D2-125m</t>
  </si>
  <si>
    <t>2900-1-AUS-D3-105m</t>
  </si>
  <si>
    <t>2900-1-AUS-TH1-150m</t>
  </si>
  <si>
    <t>2900-1-AUS-TH2-5m</t>
  </si>
  <si>
    <t>2900-1-AUS-P1-150m</t>
  </si>
  <si>
    <t>2900-1-AUS-P2-5m</t>
  </si>
  <si>
    <t>C8</t>
  </si>
  <si>
    <t>2900-1-AUS-V1</t>
  </si>
  <si>
    <t>2900-1-AUS-V2</t>
  </si>
  <si>
    <t>2900-1-AUS-V3</t>
  </si>
  <si>
    <t>2900-1-AUS-V4</t>
  </si>
  <si>
    <t>2900-1-AUS-V5</t>
  </si>
  <si>
    <t>2900-1-AUS-V6</t>
  </si>
  <si>
    <t>2900-1-AUS-V7</t>
  </si>
  <si>
    <t>2900-1-AUS-V8</t>
  </si>
  <si>
    <t>2900-1-AUS-V9</t>
  </si>
  <si>
    <t>2900-1-AUS-V10</t>
  </si>
  <si>
    <t>2900-1-AUS-D1</t>
  </si>
  <si>
    <t>2900-1-AUS-D2</t>
  </si>
  <si>
    <t>2900-1-AUS-D3</t>
  </si>
  <si>
    <t>2900-1-AUS-TH1</t>
  </si>
  <si>
    <t>2900-1-AUS-TH2</t>
  </si>
  <si>
    <t>2900-1-AUS-P1</t>
  </si>
  <si>
    <t>2900-1-AUS-P2</t>
  </si>
  <si>
    <t>2900-1</t>
  </si>
  <si>
    <t>01246749</t>
  </si>
  <si>
    <t>01246750</t>
  </si>
  <si>
    <t>01246751</t>
  </si>
  <si>
    <t>01246752</t>
  </si>
  <si>
    <t>01246753</t>
  </si>
  <si>
    <t>01246754</t>
  </si>
  <si>
    <t>01246755</t>
  </si>
  <si>
    <t>01246756</t>
  </si>
  <si>
    <t>01246757</t>
  </si>
  <si>
    <t>01246758</t>
  </si>
  <si>
    <t>01243986</t>
  </si>
  <si>
    <t>01243987</t>
  </si>
  <si>
    <t>01243988</t>
  </si>
  <si>
    <t>03240884</t>
  </si>
  <si>
    <t>03240885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</si>
</sst>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30" x14ac:knownFonts="1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i/>
      <sz val="18"/>
      <name val="Arial"/>
      <family val="2"/>
      <charset val="1"/>
    </font>
    <font>
      <sz val="20"/>
      <name val="Arial"/>
      <family val="2"/>
      <charset val="1"/>
    </font>
    <font>
      <b/>
      <sz val="11"/>
      <name val="Arial"/>
      <family val="2"/>
      <charset val="1"/>
    </font>
    <font>
      <b/>
      <i/>
      <sz val="11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name val="Arial"/>
      <family val="2"/>
      <charset val="1"/>
    </font>
    <font>
      <sz val="11"/>
      <name val="Arial"/>
      <family val="2"/>
      <charset val="1"/>
    </font>
    <font>
      <b/>
      <sz val="9"/>
      <name val="Arial"/>
      <family val="2"/>
      <charset val="1"/>
    </font>
    <font>
      <b/>
      <sz val="24"/>
      <name val="Arial"/>
      <family val="2"/>
      <charset val="1"/>
    </font>
    <font>
      <b/>
      <sz val="12"/>
      <name val="Arial"/>
      <family val="2"/>
      <charset val="1"/>
    </font>
    <font>
      <sz val="12"/>
      <name val="Arial"/>
      <family val="2"/>
      <charset val="1"/>
    </font>
    <font>
      <i/>
      <sz val="12"/>
      <name val="Arial"/>
      <family val="2"/>
      <charset val="1"/>
    </font>
    <font>
      <b/>
      <i/>
      <sz val="12"/>
      <name val="Arial"/>
      <family val="2"/>
      <charset val="1"/>
    </font>
    <font>
      <b/>
      <sz val="11"/>
      <color rgb="FFFF0000"/>
      <name val="Arial"/>
      <family val="2"/>
      <charset val="1"/>
    </font>
    <font>
      <i/>
      <sz val="11"/>
      <name val="Arial"/>
      <family val="2"/>
      <charset val="1"/>
    </font>
    <font>
      <b/>
      <sz val="12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/>
      <sz val="18"/>
      <color rgb="FF000000"/>
      <name val="Arial"/>
      <family val="2"/>
      <charset val="1"/>
    </font>
    <font>
      <u/>
      <sz val="11"/>
      <color rgb="FF0000FF"/>
      <name val="Arial"/>
      <family val="2"/>
      <charset val="1"/>
    </font>
    <font>
      <u/>
      <sz val="11"/>
      <color rgb="FF0000FF"/>
      <name val="Calibri"/>
      <family val="2"/>
      <charset val="1"/>
    </font>
    <font>
      <sz val="14"/>
      <color rgb="FF000000"/>
      <name val="Arial"/>
      <family val="2"/>
      <charset val="1"/>
    </font>
    <font>
      <b/>
      <sz val="14"/>
      <color rgb="FFFF0000"/>
      <name val="Arial"/>
      <family val="2"/>
      <charset val="1"/>
    </font>
    <font>
      <b/>
      <sz val="14"/>
      <color rgb="FF000000"/>
      <name val="Arial"/>
      <family val="2"/>
      <charset val="1"/>
    </font>
    <font>
      <sz val="14"/>
      <name val="Arial"/>
      <family val="2"/>
      <charset val="1"/>
    </font>
    <font>
      <sz val="11"/>
      <name val="Calibri"/>
      <family val="2"/>
      <charset val="1"/>
    </font>
    <font>
      <sz val="11"/>
      <color rgb="FF000000"/>
      <name val="Aptos Narrow"/>
    </font>
    <font>
      <b/>
      <sz val="11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2F2F2"/>
        <bgColor rgb="FFEBF1DE"/>
      </patternFill>
    </fill>
    <fill>
      <patternFill patternType="solid">
        <fgColor rgb="FF77933C"/>
        <bgColor rgb="FF808080"/>
      </patternFill>
    </fill>
    <fill>
      <patternFill patternType="solid">
        <fgColor rgb="FFEBF1DE"/>
        <bgColor rgb="FFF2F2F2"/>
      </patternFill>
    </fill>
    <fill>
      <patternFill patternType="solid">
        <fgColor rgb="FFBFBFBF"/>
        <bgColor rgb="FFA6A6A6"/>
      </patternFill>
    </fill>
    <fill>
      <patternFill patternType="solid">
        <fgColor rgb="FF93CDDD"/>
        <bgColor rgb="FFBFBFBF"/>
      </patternFill>
    </fill>
    <fill>
      <patternFill patternType="solid">
        <fgColor rgb="FFFFFFFF"/>
        <bgColor rgb="FFF2F2F2"/>
      </patternFill>
    </fill>
    <fill>
      <patternFill patternType="solid">
        <fgColor rgb="FFDBEEF4"/>
        <bgColor rgb="FFEBF1DE"/>
      </patternFill>
    </fill>
    <fill>
      <patternFill patternType="solid">
        <fgColor rgb="FFA6A6A6"/>
        <bgColor rgb="FFBFBFBF"/>
      </patternFill>
    </fill>
    <fill>
      <patternFill patternType="solid">
        <fgColor rgb="FFD9D9D9"/>
        <bgColor rgb="FFDBEEF4"/>
      </patternFill>
    </fill>
    <fill>
      <patternFill patternType="solid">
        <fgColor rgb="FF974706"/>
        <bgColor rgb="FF993300"/>
      </patternFill>
    </fill>
    <fill>
      <patternFill patternType="solid">
        <fgColor rgb="FF008000"/>
        <bgColor rgb="FF008080"/>
      </patternFill>
    </fill>
    <fill>
      <patternFill patternType="solid">
        <fgColor rgb="FFFFFF00"/>
        <bgColor rgb="FFFFFF00"/>
      </patternFill>
    </fill>
    <fill>
      <patternFill patternType="solid">
        <fgColor rgb="FF808080"/>
        <bgColor rgb="FF666699"/>
      </patternFill>
    </fill>
    <fill>
      <patternFill patternType="solid">
        <fgColor rgb="FFFF6699"/>
        <bgColor rgb="FFFF99CC"/>
      </patternFill>
    </fill>
    <fill>
      <patternFill patternType="solid">
        <fgColor rgb="FFFF0000"/>
        <bgColor rgb="FF993300"/>
      </patternFill>
    </fill>
    <fill>
      <patternFill patternType="solid">
        <fgColor rgb="FF000000"/>
        <bgColor rgb="FF003300"/>
      </patternFill>
    </fill>
    <fill>
      <patternFill patternType="solid">
        <fgColor rgb="FF993300"/>
        <bgColor rgb="FF974706"/>
      </patternFill>
    </fill>
    <fill>
      <patternFill patternType="solid">
        <fgColor rgb="FF0066CC"/>
        <bgColor rgb="FF008080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22" fillId="0" borderId="0" applyBorder="0" applyProtection="0"/>
    <xf numFmtId="0" fontId="1" fillId="0" borderId="0"/>
  </cellStyleXfs>
  <cellXfs count="219">
    <xf numFmtId="0" fontId="0" fillId="0" borderId="0" xfId="0"/>
    <xf numFmtId="0" fontId="15" fillId="4" borderId="15" xfId="2" applyFont="1" applyFill="1" applyBorder="1" applyAlignment="1">
      <alignment horizontal="center" vertical="center"/>
    </xf>
    <xf numFmtId="0" fontId="12" fillId="4" borderId="15" xfId="2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wrapText="1"/>
    </xf>
    <xf numFmtId="0" fontId="15" fillId="4" borderId="11" xfId="2" applyFont="1" applyFill="1" applyBorder="1" applyAlignment="1">
      <alignment horizontal="center" vertical="center"/>
    </xf>
    <xf numFmtId="0" fontId="12" fillId="4" borderId="11" xfId="2" applyFont="1" applyFill="1" applyBorder="1" applyAlignment="1">
      <alignment horizontal="center" vertical="center" wrapText="1"/>
    </xf>
    <xf numFmtId="0" fontId="12" fillId="3" borderId="1" xfId="2" applyFont="1" applyFill="1" applyBorder="1" applyAlignment="1">
      <alignment horizontal="center" vertical="center" textRotation="90" wrapText="1"/>
    </xf>
    <xf numFmtId="0" fontId="11" fillId="0" borderId="4" xfId="2" applyFont="1" applyBorder="1" applyAlignment="1">
      <alignment horizontal="left" vertical="center"/>
    </xf>
    <xf numFmtId="0" fontId="8" fillId="0" borderId="7" xfId="2" applyFont="1" applyBorder="1" applyAlignment="1">
      <alignment horizontal="center" vertical="center"/>
    </xf>
    <xf numFmtId="0" fontId="8" fillId="0" borderId="5" xfId="2" applyFont="1" applyBorder="1" applyAlignment="1">
      <alignment horizontal="center" vertical="center"/>
    </xf>
    <xf numFmtId="0" fontId="6" fillId="0" borderId="4" xfId="2" applyFont="1" applyBorder="1" applyAlignment="1">
      <alignment horizontal="left" vertical="center"/>
    </xf>
    <xf numFmtId="0" fontId="5" fillId="0" borderId="4" xfId="2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2" xfId="2" applyFont="1" applyBorder="1" applyAlignment="1">
      <alignment horizontal="center" vertical="center"/>
    </xf>
    <xf numFmtId="0" fontId="3" fillId="0" borderId="1" xfId="2" applyFont="1" applyBorder="1" applyAlignment="1">
      <alignment horizontal="left" vertical="center"/>
    </xf>
    <xf numFmtId="0" fontId="2" fillId="0" borderId="0" xfId="0" applyFont="1"/>
    <xf numFmtId="0" fontId="4" fillId="0" borderId="0" xfId="2" applyFont="1" applyAlignment="1">
      <alignment horizontal="left" vertical="center" wrapText="1"/>
    </xf>
    <xf numFmtId="0" fontId="5" fillId="0" borderId="3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0" fontId="4" fillId="2" borderId="8" xfId="2" applyFont="1" applyFill="1" applyBorder="1" applyAlignment="1">
      <alignment horizontal="left" vertical="center" wrapText="1"/>
    </xf>
    <xf numFmtId="0" fontId="4" fillId="2" borderId="9" xfId="2" applyFont="1" applyFill="1" applyBorder="1" applyAlignment="1">
      <alignment horizontal="left" vertical="center" wrapText="1"/>
    </xf>
    <xf numFmtId="0" fontId="9" fillId="0" borderId="10" xfId="2" applyFont="1" applyBorder="1" applyAlignment="1">
      <alignment horizontal="center" vertical="center" wrapText="1"/>
    </xf>
    <xf numFmtId="0" fontId="10" fillId="0" borderId="0" xfId="2" applyFont="1" applyAlignment="1">
      <alignment vertical="center"/>
    </xf>
    <xf numFmtId="0" fontId="8" fillId="0" borderId="0" xfId="2" applyFont="1" applyAlignment="1">
      <alignment horizontal="left" vertical="top"/>
    </xf>
    <xf numFmtId="0" fontId="12" fillId="4" borderId="11" xfId="2" applyFont="1" applyFill="1" applyBorder="1" applyAlignment="1">
      <alignment horizontal="right" vertical="center" wrapText="1"/>
    </xf>
    <xf numFmtId="0" fontId="13" fillId="4" borderId="12" xfId="2" applyFont="1" applyFill="1" applyBorder="1" applyAlignment="1">
      <alignment horizontal="center" vertical="center" wrapText="1"/>
    </xf>
    <xf numFmtId="0" fontId="13" fillId="4" borderId="13" xfId="2" applyFont="1" applyFill="1" applyBorder="1" applyAlignment="1">
      <alignment horizontal="left" vertical="center"/>
    </xf>
    <xf numFmtId="0" fontId="12" fillId="4" borderId="14" xfId="2" applyFont="1" applyFill="1" applyBorder="1" applyAlignment="1">
      <alignment horizontal="center" vertical="center" wrapText="1"/>
    </xf>
    <xf numFmtId="0" fontId="14" fillId="4" borderId="14" xfId="2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12" fillId="4" borderId="15" xfId="2" applyFont="1" applyFill="1" applyBorder="1" applyAlignment="1">
      <alignment horizontal="right" vertical="center" wrapText="1"/>
    </xf>
    <xf numFmtId="0" fontId="12" fillId="4" borderId="13" xfId="2" applyFont="1" applyFill="1" applyBorder="1" applyAlignment="1">
      <alignment horizontal="center" vertical="center" wrapText="1"/>
    </xf>
    <xf numFmtId="0" fontId="14" fillId="4" borderId="13" xfId="2" applyFont="1" applyFill="1" applyBorder="1" applyAlignment="1">
      <alignment horizontal="center" vertical="center"/>
    </xf>
    <xf numFmtId="0" fontId="12" fillId="4" borderId="15" xfId="2" applyFont="1" applyFill="1" applyBorder="1" applyAlignment="1">
      <alignment horizontal="right" vertical="center"/>
    </xf>
    <xf numFmtId="0" fontId="12" fillId="4" borderId="13" xfId="2" applyFont="1" applyFill="1" applyBorder="1" applyAlignment="1">
      <alignment vertical="center"/>
    </xf>
    <xf numFmtId="0" fontId="13" fillId="4" borderId="13" xfId="2" applyFont="1" applyFill="1" applyBorder="1" applyAlignment="1">
      <alignment vertical="center"/>
    </xf>
    <xf numFmtId="0" fontId="12" fillId="4" borderId="12" xfId="2" applyFont="1" applyFill="1" applyBorder="1" applyAlignment="1">
      <alignment horizontal="center" vertical="center"/>
    </xf>
    <xf numFmtId="0" fontId="12" fillId="4" borderId="12" xfId="2" applyFont="1" applyFill="1" applyBorder="1" applyAlignment="1">
      <alignment vertical="center" wrapText="1"/>
    </xf>
    <xf numFmtId="0" fontId="12" fillId="4" borderId="17" xfId="2" applyFont="1" applyFill="1" applyBorder="1" applyAlignment="1">
      <alignment horizontal="right" vertical="center" wrapText="1"/>
    </xf>
    <xf numFmtId="0" fontId="13" fillId="4" borderId="18" xfId="2" applyFont="1" applyFill="1" applyBorder="1" applyAlignment="1">
      <alignment horizontal="center" vertical="center" wrapText="1"/>
    </xf>
    <xf numFmtId="0" fontId="13" fillId="4" borderId="19" xfId="2" applyFont="1" applyFill="1" applyBorder="1" applyAlignment="1">
      <alignment vertical="center"/>
    </xf>
    <xf numFmtId="0" fontId="12" fillId="4" borderId="18" xfId="2" applyFont="1" applyFill="1" applyBorder="1" applyAlignment="1">
      <alignment horizontal="center" vertical="center"/>
    </xf>
    <xf numFmtId="0" fontId="12" fillId="4" borderId="18" xfId="2" applyFont="1" applyFill="1" applyBorder="1" applyAlignment="1">
      <alignment vertical="center" wrapText="1"/>
    </xf>
    <xf numFmtId="0" fontId="9" fillId="0" borderId="0" xfId="2" applyFont="1" applyAlignment="1">
      <alignment horizontal="left" vertical="top"/>
    </xf>
    <xf numFmtId="0" fontId="17" fillId="0" borderId="0" xfId="2" applyFont="1" applyAlignment="1">
      <alignment horizontal="left" vertical="top"/>
    </xf>
    <xf numFmtId="0" fontId="7" fillId="5" borderId="2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18" fillId="5" borderId="20" xfId="0" applyFont="1" applyFill="1" applyBorder="1" applyAlignment="1">
      <alignment horizontal="center" vertical="center" wrapText="1"/>
    </xf>
    <xf numFmtId="0" fontId="18" fillId="6" borderId="20" xfId="0" applyFont="1" applyFill="1" applyBorder="1" applyAlignment="1">
      <alignment horizontal="center" vertical="center" wrapText="1"/>
    </xf>
    <xf numFmtId="0" fontId="18" fillId="5" borderId="21" xfId="0" applyFont="1" applyFill="1" applyBorder="1" applyAlignment="1">
      <alignment horizontal="center" vertical="center" wrapText="1"/>
    </xf>
    <xf numFmtId="0" fontId="18" fillId="5" borderId="3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0" fontId="7" fillId="0" borderId="12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left" vertical="center" wrapText="1" indent="1"/>
    </xf>
    <xf numFmtId="0" fontId="2" fillId="7" borderId="12" xfId="0" applyFont="1" applyFill="1" applyBorder="1" applyAlignment="1">
      <alignment horizontal="left" vertical="center" wrapText="1" indent="1"/>
    </xf>
    <xf numFmtId="0" fontId="16" fillId="2" borderId="16" xfId="0" applyFont="1" applyFill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7" fillId="8" borderId="23" xfId="0" applyFont="1" applyFill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2" fillId="7" borderId="23" xfId="0" applyFont="1" applyFill="1" applyBorder="1" applyAlignment="1">
      <alignment horizontal="center" vertical="center" wrapText="1"/>
    </xf>
    <xf numFmtId="0" fontId="2" fillId="7" borderId="23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 wrapText="1"/>
    </xf>
    <xf numFmtId="0" fontId="5" fillId="7" borderId="12" xfId="0" applyFont="1" applyFill="1" applyBorder="1" applyAlignment="1">
      <alignment horizontal="center" vertical="center" wrapText="1"/>
    </xf>
    <xf numFmtId="0" fontId="2" fillId="0" borderId="24" xfId="0" applyFont="1" applyBorder="1"/>
    <xf numFmtId="0" fontId="18" fillId="9" borderId="4" xfId="0" applyFont="1" applyFill="1" applyBorder="1" applyAlignment="1">
      <alignment horizontal="center" vertical="center" wrapText="1"/>
    </xf>
    <xf numFmtId="0" fontId="19" fillId="0" borderId="0" xfId="0" applyFont="1"/>
    <xf numFmtId="0" fontId="19" fillId="0" borderId="0" xfId="0" applyFont="1" applyAlignment="1">
      <alignment vertical="center"/>
    </xf>
    <xf numFmtId="0" fontId="18" fillId="0" borderId="27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22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/>
    </xf>
    <xf numFmtId="0" fontId="13" fillId="0" borderId="12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13" fillId="0" borderId="12" xfId="2" applyFont="1" applyBorder="1" applyAlignment="1">
      <alignment horizontal="left" vertical="center" indent="1"/>
    </xf>
    <xf numFmtId="0" fontId="13" fillId="0" borderId="16" xfId="2" applyFont="1" applyBorder="1" applyAlignment="1">
      <alignment horizontal="center" vertical="center"/>
    </xf>
    <xf numFmtId="0" fontId="13" fillId="0" borderId="18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0" xfId="0" applyFont="1" applyAlignment="1">
      <alignment horizontal="left"/>
    </xf>
    <xf numFmtId="0" fontId="18" fillId="0" borderId="5" xfId="0" applyFont="1" applyBorder="1" applyAlignment="1">
      <alignment horizontal="center" vertical="center" wrapText="1"/>
    </xf>
    <xf numFmtId="0" fontId="19" fillId="0" borderId="6" xfId="0" applyFont="1" applyBorder="1"/>
    <xf numFmtId="0" fontId="13" fillId="0" borderId="18" xfId="0" applyFont="1" applyBorder="1" applyAlignment="1">
      <alignment horizontal="center" vertical="center" wrapText="1"/>
    </xf>
    <xf numFmtId="0" fontId="18" fillId="0" borderId="0" xfId="0" applyFont="1"/>
    <xf numFmtId="0" fontId="20" fillId="0" borderId="0" xfId="0" applyFont="1"/>
    <xf numFmtId="0" fontId="18" fillId="0" borderId="0" xfId="0" applyFont="1" applyAlignment="1">
      <alignment horizontal="left"/>
    </xf>
    <xf numFmtId="0" fontId="18" fillId="0" borderId="1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7" borderId="14" xfId="0" applyFont="1" applyFill="1" applyBorder="1"/>
    <xf numFmtId="0" fontId="19" fillId="7" borderId="11" xfId="0" applyFont="1" applyFill="1" applyBorder="1"/>
    <xf numFmtId="0" fontId="19" fillId="0" borderId="3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11" borderId="13" xfId="0" applyFont="1" applyFill="1" applyBorder="1"/>
    <xf numFmtId="0" fontId="19" fillId="11" borderId="15" xfId="0" applyFont="1" applyFill="1" applyBorder="1"/>
    <xf numFmtId="0" fontId="19" fillId="0" borderId="18" xfId="0" applyFont="1" applyBorder="1" applyAlignment="1">
      <alignment horizontal="center" vertical="center"/>
    </xf>
    <xf numFmtId="0" fontId="19" fillId="12" borderId="19" xfId="0" applyFont="1" applyFill="1" applyBorder="1"/>
    <xf numFmtId="0" fontId="19" fillId="12" borderId="17" xfId="0" applyFont="1" applyFill="1" applyBorder="1"/>
    <xf numFmtId="0" fontId="19" fillId="0" borderId="6" xfId="0" applyFont="1" applyBorder="1" applyAlignment="1">
      <alignment horizontal="center" vertical="center"/>
    </xf>
    <xf numFmtId="0" fontId="19" fillId="12" borderId="13" xfId="0" applyFont="1" applyFill="1" applyBorder="1"/>
    <xf numFmtId="0" fontId="19" fillId="12" borderId="15" xfId="0" applyFont="1" applyFill="1" applyBorder="1"/>
    <xf numFmtId="0" fontId="19" fillId="13" borderId="19" xfId="0" applyFont="1" applyFill="1" applyBorder="1"/>
    <xf numFmtId="0" fontId="19" fillId="13" borderId="17" xfId="0" applyFont="1" applyFill="1" applyBorder="1"/>
    <xf numFmtId="0" fontId="19" fillId="13" borderId="13" xfId="0" applyFont="1" applyFill="1" applyBorder="1"/>
    <xf numFmtId="0" fontId="19" fillId="13" borderId="15" xfId="0" applyFont="1" applyFill="1" applyBorder="1"/>
    <xf numFmtId="0" fontId="19" fillId="14" borderId="13" xfId="0" applyFont="1" applyFill="1" applyBorder="1"/>
    <xf numFmtId="0" fontId="19" fillId="14" borderId="15" xfId="0" applyFont="1" applyFill="1" applyBorder="1"/>
    <xf numFmtId="0" fontId="19" fillId="15" borderId="19" xfId="0" applyFont="1" applyFill="1" applyBorder="1"/>
    <xf numFmtId="0" fontId="19" fillId="15" borderId="17" xfId="0" applyFont="1" applyFill="1" applyBorder="1"/>
    <xf numFmtId="0" fontId="19" fillId="0" borderId="12" xfId="0" applyFont="1" applyBorder="1" applyAlignment="1">
      <alignment horizontal="center" vertical="center" wrapText="1"/>
    </xf>
    <xf numFmtId="0" fontId="19" fillId="16" borderId="13" xfId="0" applyFont="1" applyFill="1" applyBorder="1"/>
    <xf numFmtId="0" fontId="19" fillId="16" borderId="15" xfId="0" applyFont="1" applyFill="1" applyBorder="1"/>
    <xf numFmtId="0" fontId="19" fillId="0" borderId="16" xfId="0" applyFont="1" applyBorder="1" applyAlignment="1">
      <alignment horizontal="center" vertical="center" wrapText="1"/>
    </xf>
    <xf numFmtId="0" fontId="19" fillId="17" borderId="12" xfId="0" applyFont="1" applyFill="1" applyBorder="1" applyAlignment="1">
      <alignment horizontal="center" vertical="center" wrapText="1"/>
    </xf>
    <xf numFmtId="0" fontId="19" fillId="0" borderId="18" xfId="0" applyFont="1" applyBorder="1" applyAlignment="1">
      <alignment horizontal="center" vertical="center" wrapText="1"/>
    </xf>
    <xf numFmtId="0" fontId="19" fillId="16" borderId="13" xfId="0" applyFont="1" applyFill="1" applyBorder="1" applyAlignment="1">
      <alignment horizontal="center" vertical="center" wrapText="1"/>
    </xf>
    <xf numFmtId="0" fontId="19" fillId="16" borderId="15" xfId="0" applyFont="1" applyFill="1" applyBorder="1" applyAlignment="1">
      <alignment horizontal="center" vertical="center" wrapText="1"/>
    </xf>
    <xf numFmtId="0" fontId="19" fillId="17" borderId="19" xfId="0" applyFont="1" applyFill="1" applyBorder="1" applyAlignment="1">
      <alignment horizontal="center" vertical="center" wrapText="1"/>
    </xf>
    <xf numFmtId="0" fontId="19" fillId="17" borderId="17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0" borderId="20" xfId="0" applyFont="1" applyBorder="1" applyAlignment="1">
      <alignment horizontal="center" vertical="center" wrapText="1"/>
    </xf>
    <xf numFmtId="0" fontId="19" fillId="18" borderId="14" xfId="0" applyFont="1" applyFill="1" applyBorder="1" applyAlignment="1">
      <alignment horizontal="center" vertical="center" wrapText="1"/>
    </xf>
    <xf numFmtId="0" fontId="19" fillId="18" borderId="11" xfId="0" applyFont="1" applyFill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19" borderId="19" xfId="0" applyFont="1" applyFill="1" applyBorder="1" applyAlignment="1">
      <alignment horizontal="center" vertical="center" wrapText="1"/>
    </xf>
    <xf numFmtId="0" fontId="19" fillId="19" borderId="17" xfId="0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right"/>
    </xf>
    <xf numFmtId="0" fontId="2" fillId="7" borderId="0" xfId="0" applyFont="1" applyFill="1" applyAlignment="1">
      <alignment horizontal="left" vertical="top"/>
    </xf>
    <xf numFmtId="0" fontId="21" fillId="7" borderId="0" xfId="1" applyFont="1" applyFill="1" applyBorder="1" applyProtection="1"/>
    <xf numFmtId="0" fontId="2" fillId="7" borderId="0" xfId="0" applyFont="1" applyFill="1" applyAlignment="1">
      <alignment wrapText="1"/>
    </xf>
    <xf numFmtId="0" fontId="2" fillId="7" borderId="0" xfId="0" applyFont="1" applyFill="1"/>
    <xf numFmtId="0" fontId="23" fillId="0" borderId="0" xfId="0" applyFont="1" applyAlignment="1">
      <alignment horizontal="center" vertical="center" wrapText="1"/>
    </xf>
    <xf numFmtId="0" fontId="24" fillId="0" borderId="33" xfId="0" applyFont="1" applyBorder="1" applyAlignment="1">
      <alignment horizontal="center" vertical="center" wrapText="1"/>
    </xf>
    <xf numFmtId="0" fontId="25" fillId="0" borderId="34" xfId="0" applyFont="1" applyBorder="1" applyAlignment="1">
      <alignment horizontal="center" vertical="center" wrapText="1"/>
    </xf>
    <xf numFmtId="0" fontId="24" fillId="0" borderId="34" xfId="0" applyFont="1" applyBorder="1" applyAlignment="1">
      <alignment horizontal="center" vertical="center" wrapText="1"/>
    </xf>
    <xf numFmtId="0" fontId="24" fillId="0" borderId="35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7" borderId="20" xfId="0" applyFont="1" applyFill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3" fillId="11" borderId="12" xfId="0" applyFont="1" applyFill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12" borderId="18" xfId="0" applyFont="1" applyFill="1" applyBorder="1" applyAlignment="1">
      <alignment horizontal="center" vertical="center" wrapText="1"/>
    </xf>
    <xf numFmtId="0" fontId="23" fillId="12" borderId="12" xfId="0" applyFont="1" applyFill="1" applyBorder="1" applyAlignment="1">
      <alignment horizontal="center" vertical="center" wrapText="1"/>
    </xf>
    <xf numFmtId="0" fontId="23" fillId="13" borderId="18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4" borderId="12" xfId="0" applyFont="1" applyFill="1" applyBorder="1" applyAlignment="1">
      <alignment horizontal="center" vertical="center" wrapText="1"/>
    </xf>
    <xf numFmtId="0" fontId="23" fillId="15" borderId="18" xfId="0" applyFont="1" applyFill="1" applyBorder="1" applyAlignment="1">
      <alignment horizontal="center" vertical="center" wrapText="1"/>
    </xf>
    <xf numFmtId="0" fontId="27" fillId="0" borderId="0" xfId="0" applyFont="1"/>
    <xf numFmtId="0" fontId="27" fillId="4" borderId="12" xfId="0" applyFont="1" applyFill="1" applyBorder="1"/>
    <xf numFmtId="0" fontId="27" fillId="0" borderId="37" xfId="0" applyFont="1" applyBorder="1"/>
    <xf numFmtId="0" fontId="2" fillId="4" borderId="16" xfId="0" applyFont="1" applyFill="1" applyBorder="1" applyAlignment="1">
      <alignment horizontal="center"/>
    </xf>
    <xf numFmtId="0" fontId="12" fillId="4" borderId="15" xfId="2" applyFont="1" applyFill="1" applyBorder="1" applyAlignment="1">
      <alignment horizontal="center" vertical="center"/>
    </xf>
    <xf numFmtId="0" fontId="16" fillId="4" borderId="16" xfId="0" applyFont="1" applyFill="1" applyBorder="1" applyAlignment="1">
      <alignment horizontal="center"/>
    </xf>
    <xf numFmtId="0" fontId="12" fillId="4" borderId="17" xfId="2" applyFont="1" applyFill="1" applyBorder="1" applyAlignment="1">
      <alignment horizontal="center" vertical="center"/>
    </xf>
    <xf numFmtId="0" fontId="15" fillId="4" borderId="17" xfId="2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 vertical="center" wrapText="1"/>
    </xf>
    <xf numFmtId="0" fontId="18" fillId="9" borderId="25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center" vertical="center" wrapText="1"/>
    </xf>
    <xf numFmtId="0" fontId="18" fillId="9" borderId="4" xfId="0" applyFont="1" applyFill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left" vertical="center" indent="1"/>
    </xf>
    <xf numFmtId="0" fontId="12" fillId="0" borderId="26" xfId="0" applyFont="1" applyBorder="1" applyAlignment="1">
      <alignment horizontal="center" vertical="center"/>
    </xf>
    <xf numFmtId="0" fontId="19" fillId="0" borderId="12" xfId="0" applyFont="1" applyBorder="1" applyAlignment="1">
      <alignment horizontal="left" vertical="center" indent="1"/>
    </xf>
    <xf numFmtId="0" fontId="18" fillId="0" borderId="29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/>
    </xf>
    <xf numFmtId="0" fontId="19" fillId="2" borderId="16" xfId="0" applyFont="1" applyFill="1" applyBorder="1" applyAlignment="1">
      <alignment horizontal="center" vertical="center"/>
    </xf>
    <xf numFmtId="0" fontId="13" fillId="0" borderId="12" xfId="2" applyFont="1" applyBorder="1" applyAlignment="1">
      <alignment horizontal="left" vertical="center" indent="1"/>
    </xf>
    <xf numFmtId="0" fontId="18" fillId="10" borderId="29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9" fillId="0" borderId="18" xfId="0" applyFont="1" applyBorder="1" applyAlignment="1">
      <alignment horizontal="left" indent="1"/>
    </xf>
    <xf numFmtId="0" fontId="18" fillId="0" borderId="30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18" fillId="0" borderId="31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9" fillId="0" borderId="20" xfId="0" applyFont="1" applyBorder="1" applyAlignment="1">
      <alignment horizontal="center" vertical="center"/>
    </xf>
    <xf numFmtId="0" fontId="19" fillId="7" borderId="20" xfId="0" applyFont="1" applyFill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19" fillId="0" borderId="12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9" fillId="0" borderId="18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5" fillId="7" borderId="0" xfId="0" applyFont="1" applyFill="1" applyAlignment="1">
      <alignment horizontal="right" wrapText="1"/>
    </xf>
    <xf numFmtId="164" fontId="18" fillId="0" borderId="0" xfId="0" applyNumberFormat="1" applyFont="1" applyAlignment="1">
      <alignment horizontal="center" vertical="center"/>
    </xf>
    <xf numFmtId="0" fontId="25" fillId="0" borderId="34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left" vertical="center" indent="1"/>
    </xf>
    <xf numFmtId="0" fontId="2" fillId="2" borderId="12" xfId="0" quotePrefix="1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Standard 2" xfId="2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BFBFBF"/>
      <rgbColor rgb="FF808080"/>
      <rgbColor rgb="FF9999FF"/>
      <rgbColor rgb="FF974706"/>
      <rgbColor rgb="FFEBF1DE"/>
      <rgbColor rgb="FFDBEEF4"/>
      <rgbColor rgb="FF660066"/>
      <rgbColor rgb="FFFF6699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CCFFCC"/>
      <rgbColor rgb="FFFFFF99"/>
      <rgbColor rgb="FF93CDDD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2</xdr:row>
          <xdr:rowOff>0</xdr:rowOff>
        </xdr:from>
        <xdr:to>
          <xdr:col>7</xdr:col>
          <xdr:colOff>414338</xdr:colOff>
          <xdr:row>2</xdr:row>
          <xdr:rowOff>293975</xdr:rowOff>
        </xdr:to>
        <xdr:sp macro="" textlink="">
          <xdr:nvSpPr>
            <xdr:cNvPr id="1001" name="CommandButton1" descr="Upda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0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ComboBox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ComboBox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ComboBox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ComboBox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ComboBox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ComboBox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ComboBox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ComboBox1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ComboBox20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ComboBox2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ComboBox2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ComboBox2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ComboBox2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ComboBox3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ComboBox32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ComboBox33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ComboBox34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ComboBox35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ComboBox36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ComboBox37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ComboBox38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ComboBox39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ComboBox40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ComboBox4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ComboBox42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ComboBox43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ComboBox44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ComboBox45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ComboBox46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ComboBox47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ComboBox48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ComboBox49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ComboBox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ComboBox5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6" name="ComboBox52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7" name="ComboBox53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8" name="ComboBox54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9" name="ComboBox55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0" name="ComboBox56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1" name="ComboBox5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2" name="ComboBox59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3" name="ComboBox60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" name="ComboBox6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4763</xdr:rowOff>
        </xdr:from>
        <xdr:to>
          <xdr:col>2</xdr:col>
          <xdr:colOff>1775115</xdr:colOff>
          <xdr:row>3</xdr:row>
          <xdr:rowOff>4763</xdr:rowOff>
        </xdr:to>
        <xdr:sp macro="" textlink="">
          <xdr:nvSpPr>
            <xdr:cNvPr id="1002" name="CommandButton2" descr="Clear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0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0</xdr:rowOff>
        </xdr:from>
        <xdr:to>
          <xdr:col>1</xdr:col>
          <xdr:colOff>795338</xdr:colOff>
          <xdr:row>2</xdr:row>
          <xdr:rowOff>293975</xdr:rowOff>
        </xdr:to>
        <xdr:sp macro="" textlink="">
          <xdr:nvSpPr>
            <xdr:cNvPr id="1003" name="CommandButton3" descr="Open" hidden="1">
              <a:extLst>
                <a:ext uri="{63B3BB69-23CF-44E3-9099-C40C66FF867C}">
                  <a14:compatExt spid="_x0000_s1003"/>
                </a:ext>
                <a:ext uri="{FF2B5EF4-FFF2-40B4-BE49-F238E27FC236}">
                  <a16:creationId xmlns:a16="http://schemas.microsoft.com/office/drawing/2014/main" id="{00000000-0008-0000-0000-0000EB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4" name="Check Box 197" descr="Check Box 197" hidden="1">
              <a:extLst>
                <a:ext uri="{63B3BB69-23CF-44E3-9099-C40C66FF867C}">
                  <a14:compatExt spid="_x0000_s1004"/>
                </a:ext>
                <a:ext uri="{FF2B5EF4-FFF2-40B4-BE49-F238E27FC236}">
                  <a16:creationId xmlns:a16="http://schemas.microsoft.com/office/drawing/2014/main" id="{00000000-0008-0000-0000-0000EC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5" name="Check Box 202" descr="Check Box 202" hidden="1">
              <a:extLst>
                <a:ext uri="{63B3BB69-23CF-44E3-9099-C40C66FF867C}">
                  <a14:compatExt spid="_x0000_s1005"/>
                </a:ext>
                <a:ext uri="{FF2B5EF4-FFF2-40B4-BE49-F238E27FC236}">
                  <a16:creationId xmlns:a16="http://schemas.microsoft.com/office/drawing/2014/main" id="{00000000-0008-0000-0000-0000ED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6" name="Check Box 203" descr="Check Box 203" hidden="1">
              <a:extLst>
                <a:ext uri="{63B3BB69-23CF-44E3-9099-C40C66FF867C}">
                  <a14:compatExt spid="_x0000_s1006"/>
                </a:ext>
                <a:ext uri="{FF2B5EF4-FFF2-40B4-BE49-F238E27FC236}">
                  <a16:creationId xmlns:a16="http://schemas.microsoft.com/office/drawing/2014/main" id="{00000000-0008-0000-0000-0000EE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7" name="Check Box 205" descr="Check Box 205" hidden="1">
              <a:extLst>
                <a:ext uri="{63B3BB69-23CF-44E3-9099-C40C66FF867C}">
                  <a14:compatExt spid="_x0000_s1007"/>
                </a:ext>
                <a:ext uri="{FF2B5EF4-FFF2-40B4-BE49-F238E27FC236}">
                  <a16:creationId xmlns:a16="http://schemas.microsoft.com/office/drawing/2014/main" id="{00000000-0008-0000-0000-0000EF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8" name="Check Box 207" descr="Check Box 207" hidden="1">
              <a:extLst>
                <a:ext uri="{63B3BB69-23CF-44E3-9099-C40C66FF867C}">
                  <a14:compatExt spid="_x0000_s1008"/>
                </a:ext>
                <a:ext uri="{FF2B5EF4-FFF2-40B4-BE49-F238E27FC236}">
                  <a16:creationId xmlns:a16="http://schemas.microsoft.com/office/drawing/2014/main" id="{00000000-0008-0000-0000-0000F0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9" name="Check Box 208" descr="Check Box 208" hidden="1">
              <a:extLst>
                <a:ext uri="{63B3BB69-23CF-44E3-9099-C40C66FF867C}">
                  <a14:compatExt spid="_x0000_s1009"/>
                </a:ext>
                <a:ext uri="{FF2B5EF4-FFF2-40B4-BE49-F238E27FC236}">
                  <a16:creationId xmlns:a16="http://schemas.microsoft.com/office/drawing/2014/main" id="{00000000-0008-0000-0000-0000F1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0" name="Check Box 210" descr="Check Box 210" hidden="1">
              <a:extLst>
                <a:ext uri="{63B3BB69-23CF-44E3-9099-C40C66FF867C}">
                  <a14:compatExt spid="_x0000_s1010"/>
                </a:ext>
                <a:ext uri="{FF2B5EF4-FFF2-40B4-BE49-F238E27FC236}">
                  <a16:creationId xmlns:a16="http://schemas.microsoft.com/office/drawing/2014/main" id="{00000000-0008-0000-0000-0000F2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1" name="Check Box 211" descr="Check Box 211" hidden="1">
              <a:extLst>
                <a:ext uri="{63B3BB69-23CF-44E3-9099-C40C66FF867C}">
                  <a14:compatExt spid="_x0000_s1011"/>
                </a:ext>
                <a:ext uri="{FF2B5EF4-FFF2-40B4-BE49-F238E27FC236}">
                  <a16:creationId xmlns:a16="http://schemas.microsoft.com/office/drawing/2014/main" id="{00000000-0008-0000-0000-0000F3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2" name="Check Box 212" descr="Check Box 212" hidden="1">
              <a:extLst>
                <a:ext uri="{63B3BB69-23CF-44E3-9099-C40C66FF867C}">
                  <a14:compatExt spid="_x0000_s1012"/>
                </a:ext>
                <a:ext uri="{FF2B5EF4-FFF2-40B4-BE49-F238E27FC236}">
                  <a16:creationId xmlns:a16="http://schemas.microsoft.com/office/drawing/2014/main" id="{00000000-0008-0000-0000-0000F4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3" name="Check Box 213" descr="Check Box 213" hidden="1">
              <a:extLst>
                <a:ext uri="{63B3BB69-23CF-44E3-9099-C40C66FF867C}">
                  <a14:compatExt spid="_x0000_s1013"/>
                </a:ext>
                <a:ext uri="{FF2B5EF4-FFF2-40B4-BE49-F238E27FC236}">
                  <a16:creationId xmlns:a16="http://schemas.microsoft.com/office/drawing/2014/main" id="{00000000-0008-0000-0000-0000F5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4" name="Check Box 214" descr="Check Box 214" hidden="1">
              <a:extLst>
                <a:ext uri="{63B3BB69-23CF-44E3-9099-C40C66FF867C}">
                  <a14:compatExt spid="_x0000_s1014"/>
                </a:ext>
                <a:ext uri="{FF2B5EF4-FFF2-40B4-BE49-F238E27FC236}">
                  <a16:creationId xmlns:a16="http://schemas.microsoft.com/office/drawing/2014/main" id="{00000000-0008-0000-0000-0000F6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5" name="Check Box 215" descr="Check Box 215" hidden="1">
              <a:extLst>
                <a:ext uri="{63B3BB69-23CF-44E3-9099-C40C66FF867C}">
                  <a14:compatExt spid="_x0000_s1015"/>
                </a:ext>
                <a:ext uri="{FF2B5EF4-FFF2-40B4-BE49-F238E27FC236}">
                  <a16:creationId xmlns:a16="http://schemas.microsoft.com/office/drawing/2014/main" id="{00000000-0008-0000-0000-0000F7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6" name="Check Box 216" descr="Check Box 216" hidden="1">
              <a:extLst>
                <a:ext uri="{63B3BB69-23CF-44E3-9099-C40C66FF867C}">
                  <a14:compatExt spid="_x0000_s1016"/>
                </a:ext>
                <a:ext uri="{FF2B5EF4-FFF2-40B4-BE49-F238E27FC236}">
                  <a16:creationId xmlns:a16="http://schemas.microsoft.com/office/drawing/2014/main" id="{00000000-0008-0000-0000-0000F8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7" name="Check Box 217" descr="Check Box 217" hidden="1">
              <a:extLst>
                <a:ext uri="{63B3BB69-23CF-44E3-9099-C40C66FF867C}">
                  <a14:compatExt spid="_x0000_s1017"/>
                </a:ext>
                <a:ext uri="{FF2B5EF4-FFF2-40B4-BE49-F238E27FC236}">
                  <a16:creationId xmlns:a16="http://schemas.microsoft.com/office/drawing/2014/main" id="{00000000-0008-0000-0000-0000F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8" name="Check Box 218" descr="Check Box 218" hidden="1">
              <a:extLst>
                <a:ext uri="{63B3BB69-23CF-44E3-9099-C40C66FF867C}">
                  <a14:compatExt spid="_x0000_s1018"/>
                </a:ext>
                <a:ext uri="{FF2B5EF4-FFF2-40B4-BE49-F238E27FC236}">
                  <a16:creationId xmlns:a16="http://schemas.microsoft.com/office/drawing/2014/main" id="{00000000-0008-0000-0000-0000F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9" name="Check Box 219" descr="Check Box 219" hidden="1">
              <a:extLst>
                <a:ext uri="{63B3BB69-23CF-44E3-9099-C40C66FF867C}">
                  <a14:compatExt spid="_x0000_s1019"/>
                </a:ext>
                <a:ext uri="{FF2B5EF4-FFF2-40B4-BE49-F238E27FC236}">
                  <a16:creationId xmlns:a16="http://schemas.microsoft.com/office/drawing/2014/main" id="{00000000-0008-0000-0000-0000FB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0" name="Check Box 220" descr="Check Box 220" hidden="1">
              <a:extLst>
                <a:ext uri="{63B3BB69-23CF-44E3-9099-C40C66FF867C}">
                  <a14:compatExt spid="_x0000_s1020"/>
                </a:ext>
                <a:ext uri="{FF2B5EF4-FFF2-40B4-BE49-F238E27FC236}">
                  <a16:creationId xmlns:a16="http://schemas.microsoft.com/office/drawing/2014/main" id="{00000000-0008-0000-0000-0000FC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1" name="Check Box 221" descr="Check Box 221" hidden="1">
              <a:extLst>
                <a:ext uri="{63B3BB69-23CF-44E3-9099-C40C66FF867C}">
                  <a14:compatExt spid="_x0000_s1021"/>
                </a:ext>
                <a:ext uri="{FF2B5EF4-FFF2-40B4-BE49-F238E27FC236}">
                  <a16:creationId xmlns:a16="http://schemas.microsoft.com/office/drawing/2014/main" id="{00000000-0008-0000-0000-0000FD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2" name="Check Box 222" descr="Check Box 222" hidden="1">
              <a:extLst>
                <a:ext uri="{63B3BB69-23CF-44E3-9099-C40C66FF867C}">
                  <a14:compatExt spid="_x0000_s1022"/>
                </a:ext>
                <a:ext uri="{FF2B5EF4-FFF2-40B4-BE49-F238E27FC236}">
                  <a16:creationId xmlns:a16="http://schemas.microsoft.com/office/drawing/2014/main" id="{00000000-0008-0000-0000-0000FE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5" name="ComboBox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6" name="ComboBox7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7" name="ComboBox10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8" name="ComboBox1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9" name="ComboBox12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6" name="Check Box 204" descr="Check Box 204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0" name="ComboBox67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1" name="ComboBox68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2" name="ComboBox69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3" name="ComboBox70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4" name="ComboBox7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5" name="ComboBox73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6" name="ComboBox2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7" name="ComboBox2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8" name="ComboBox2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7" name="Check Box 209" descr="Check Box 209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9" name="ComboBox87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0" name="ComboBox88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1" name="ComboBox89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5" name="Check Box 250" descr="Check Box 25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6" name="Check Box 230" descr="Check Box 23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7" name="Check Box 251" descr="Check Box 25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8" name="Check Box 253" descr="Check Box 25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2" name="ComboBox72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3" name="ComboBox74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0" name="ComboBox75">
          <a:extLst>
            <a:ext uri="{FF2B5EF4-FFF2-40B4-BE49-F238E27FC236}">
              <a16:creationId xmlns:a16="http://schemas.microsoft.com/office/drawing/2014/main" id="{00000000-0008-0000-0000-0000C0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1" name="ComboBox76">
          <a:extLst>
            <a:ext uri="{FF2B5EF4-FFF2-40B4-BE49-F238E27FC236}">
              <a16:creationId xmlns:a16="http://schemas.microsoft.com/office/drawing/2014/main" id="{00000000-0008-0000-0000-0000C1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2" name="ComboBox77">
          <a:extLst>
            <a:ext uri="{FF2B5EF4-FFF2-40B4-BE49-F238E27FC236}">
              <a16:creationId xmlns:a16="http://schemas.microsoft.com/office/drawing/2014/main" id="{00000000-0008-0000-0000-0000C2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9" name="Check Box 252" descr="Check Box 25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3" name="ComboBox28">
          <a:extLst>
            <a:ext uri="{FF2B5EF4-FFF2-40B4-BE49-F238E27FC236}">
              <a16:creationId xmlns:a16="http://schemas.microsoft.com/office/drawing/2014/main" id="{00000000-0008-0000-0000-0000C3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4" name="ComboBox29">
          <a:extLst>
            <a:ext uri="{FF2B5EF4-FFF2-40B4-BE49-F238E27FC236}">
              <a16:creationId xmlns:a16="http://schemas.microsoft.com/office/drawing/2014/main" id="{00000000-0008-0000-0000-0000C4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5" name="ComboBox13">
          <a:extLst>
            <a:ext uri="{FF2B5EF4-FFF2-40B4-BE49-F238E27FC236}">
              <a16:creationId xmlns:a16="http://schemas.microsoft.com/office/drawing/2014/main" id="{00000000-0008-0000-0000-0000C5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6" name="ComboBox16">
          <a:extLst>
            <a:ext uri="{FF2B5EF4-FFF2-40B4-BE49-F238E27FC236}">
              <a16:creationId xmlns:a16="http://schemas.microsoft.com/office/drawing/2014/main" id="{00000000-0008-0000-0000-0000C6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30" name="Check Box 206" descr="Check Box 20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7" name="ComboBox82">
          <a:extLst>
            <a:ext uri="{FF2B5EF4-FFF2-40B4-BE49-F238E27FC236}">
              <a16:creationId xmlns:a16="http://schemas.microsoft.com/office/drawing/2014/main" id="{00000000-0008-0000-0000-0000C7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8" name="ComboBox61">
          <a:extLst>
            <a:ext uri="{FF2B5EF4-FFF2-40B4-BE49-F238E27FC236}">
              <a16:creationId xmlns:a16="http://schemas.microsoft.com/office/drawing/2014/main" id="{00000000-0008-0000-0000-0000C8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69" name="ComboBox64">
          <a:extLst>
            <a:ext uri="{FF2B5EF4-FFF2-40B4-BE49-F238E27FC236}">
              <a16:creationId xmlns:a16="http://schemas.microsoft.com/office/drawing/2014/main" id="{00000000-0008-0000-0000-0000C9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31" name="Check Box 263" descr="Check Box 26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70" name="ComboBox66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71" name="ComboBox30">
          <a:extLst>
            <a:ext uri="{FF2B5EF4-FFF2-40B4-BE49-F238E27FC236}">
              <a16:creationId xmlns:a16="http://schemas.microsoft.com/office/drawing/2014/main" id="{00000000-0008-0000-0000-0000CB03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4763</xdr:colOff>
          <xdr:row>2</xdr:row>
          <xdr:rowOff>0</xdr:rowOff>
        </xdr:from>
        <xdr:to>
          <xdr:col>7</xdr:col>
          <xdr:colOff>204788</xdr:colOff>
          <xdr:row>3</xdr:row>
          <xdr:rowOff>71438</xdr:rowOff>
        </xdr:to>
        <xdr:sp macro="" textlink="">
          <xdr:nvSpPr>
            <xdr:cNvPr id="1055" name="shape_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4763</xdr:rowOff>
        </xdr:from>
        <xdr:to>
          <xdr:col>3</xdr:col>
          <xdr:colOff>476250</xdr:colOff>
          <xdr:row>3</xdr:row>
          <xdr:rowOff>4763</xdr:rowOff>
        </xdr:to>
        <xdr:sp macro="" textlink="">
          <xdr:nvSpPr>
            <xdr:cNvPr id="1054" name="shape_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1</xdr:col>
          <xdr:colOff>395288</xdr:colOff>
          <xdr:row>3</xdr:row>
          <xdr:rowOff>71438</xdr:rowOff>
        </xdr:to>
        <xdr:sp macro="" textlink="">
          <xdr:nvSpPr>
            <xdr:cNvPr id="1053" name="shape_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76320</xdr:colOff>
      <xdr:row>1</xdr:row>
      <xdr:rowOff>57240</xdr:rowOff>
    </xdr:from>
    <xdr:to>
      <xdr:col>6</xdr:col>
      <xdr:colOff>2017440</xdr:colOff>
      <xdr:row>5</xdr:row>
      <xdr:rowOff>114840</xdr:rowOff>
    </xdr:to>
    <xdr:pic>
      <xdr:nvPicPr>
        <xdr:cNvPr id="2" name="Bild 4" descr="Logo_2015_all transp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238440" y="257400"/>
          <a:ext cx="2444040" cy="952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19080</xdr:colOff>
      <xdr:row>83</xdr:row>
      <xdr:rowOff>19080</xdr:rowOff>
    </xdr:from>
    <xdr:to>
      <xdr:col>0</xdr:col>
      <xdr:colOff>1943640</xdr:colOff>
      <xdr:row>93</xdr:row>
      <xdr:rowOff>169920</xdr:rowOff>
    </xdr:to>
    <xdr:pic>
      <xdr:nvPicPr>
        <xdr:cNvPr id="3" name="Bild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9080" y="15440040"/>
          <a:ext cx="1924560" cy="2075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3</xdr:col>
      <xdr:colOff>686880</xdr:colOff>
      <xdr:row>65</xdr:row>
      <xdr:rowOff>22680</xdr:rowOff>
    </xdr:from>
    <xdr:to>
      <xdr:col>3</xdr:col>
      <xdr:colOff>828720</xdr:colOff>
      <xdr:row>65</xdr:row>
      <xdr:rowOff>176040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3"/>
        <a:srcRect t="10868" b="17800"/>
        <a:stretch/>
      </xdr:blipFill>
      <xdr:spPr>
        <a:xfrm>
          <a:off x="5378760" y="11957400"/>
          <a:ext cx="141840" cy="1533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3</xdr:col>
      <xdr:colOff>686880</xdr:colOff>
      <xdr:row>69</xdr:row>
      <xdr:rowOff>22680</xdr:rowOff>
    </xdr:from>
    <xdr:to>
      <xdr:col>3</xdr:col>
      <xdr:colOff>828720</xdr:colOff>
      <xdr:row>69</xdr:row>
      <xdr:rowOff>176040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3"/>
        <a:srcRect t="10868" b="17800"/>
        <a:stretch/>
      </xdr:blipFill>
      <xdr:spPr>
        <a:xfrm>
          <a:off x="5378760" y="12728880"/>
          <a:ext cx="141840" cy="1533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353160</xdr:colOff>
      <xdr:row>1</xdr:row>
      <xdr:rowOff>79200</xdr:rowOff>
    </xdr:from>
    <xdr:to>
      <xdr:col>9</xdr:col>
      <xdr:colOff>1287720</xdr:colOff>
      <xdr:row>3</xdr:row>
      <xdr:rowOff>259200</xdr:rowOff>
    </xdr:to>
    <xdr:pic>
      <xdr:nvPicPr>
        <xdr:cNvPr id="4" name="Picture 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59364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4</xdr:row>
      <xdr:rowOff>79200</xdr:rowOff>
    </xdr:from>
    <xdr:to>
      <xdr:col>9</xdr:col>
      <xdr:colOff>1287720</xdr:colOff>
      <xdr:row>6</xdr:row>
      <xdr:rowOff>259200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165096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7</xdr:row>
      <xdr:rowOff>79200</xdr:rowOff>
    </xdr:from>
    <xdr:to>
      <xdr:col>9</xdr:col>
      <xdr:colOff>1287720</xdr:colOff>
      <xdr:row>9</xdr:row>
      <xdr:rowOff>259200</xdr:rowOff>
    </xdr:to>
    <xdr:pic>
      <xdr:nvPicPr>
        <xdr:cNvPr id="6" name="Picture 1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2708280"/>
          <a:ext cx="934560" cy="88452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10</xdr:row>
      <xdr:rowOff>79200</xdr:rowOff>
    </xdr:from>
    <xdr:to>
      <xdr:col>9</xdr:col>
      <xdr:colOff>1287720</xdr:colOff>
      <xdr:row>12</xdr:row>
      <xdr:rowOff>259200</xdr:rowOff>
    </xdr:to>
    <xdr:pic>
      <xdr:nvPicPr>
        <xdr:cNvPr id="7" name="Picture 1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376524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108720</xdr:colOff>
      <xdr:row>43</xdr:row>
      <xdr:rowOff>217800</xdr:rowOff>
    </xdr:from>
    <xdr:to>
      <xdr:col>9</xdr:col>
      <xdr:colOff>1487160</xdr:colOff>
      <xdr:row>48</xdr:row>
      <xdr:rowOff>115560</xdr:rowOff>
    </xdr:to>
    <xdr:pic>
      <xdr:nvPicPr>
        <xdr:cNvPr id="8" name="Picture 15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9400680" y="13419360"/>
          <a:ext cx="1378440" cy="165996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108720</xdr:colOff>
      <xdr:row>49</xdr:row>
      <xdr:rowOff>217800</xdr:rowOff>
    </xdr:from>
    <xdr:to>
      <xdr:col>9</xdr:col>
      <xdr:colOff>1487160</xdr:colOff>
      <xdr:row>54</xdr:row>
      <xdr:rowOff>115560</xdr:rowOff>
    </xdr:to>
    <xdr:pic>
      <xdr:nvPicPr>
        <xdr:cNvPr id="9" name="Picture 16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9400680" y="15534000"/>
          <a:ext cx="1378440" cy="165996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13</xdr:row>
      <xdr:rowOff>79200</xdr:rowOff>
    </xdr:from>
    <xdr:to>
      <xdr:col>9</xdr:col>
      <xdr:colOff>1287720</xdr:colOff>
      <xdr:row>15</xdr:row>
      <xdr:rowOff>259200</xdr:rowOff>
    </xdr:to>
    <xdr:pic>
      <xdr:nvPicPr>
        <xdr:cNvPr id="10" name="Picture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482256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16</xdr:row>
      <xdr:rowOff>79200</xdr:rowOff>
    </xdr:from>
    <xdr:to>
      <xdr:col>9</xdr:col>
      <xdr:colOff>1287720</xdr:colOff>
      <xdr:row>18</xdr:row>
      <xdr:rowOff>259200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587988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19</xdr:row>
      <xdr:rowOff>79200</xdr:rowOff>
    </xdr:from>
    <xdr:to>
      <xdr:col>9</xdr:col>
      <xdr:colOff>1287720</xdr:colOff>
      <xdr:row>21</xdr:row>
      <xdr:rowOff>259200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693720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22</xdr:row>
      <xdr:rowOff>79200</xdr:rowOff>
    </xdr:from>
    <xdr:to>
      <xdr:col>9</xdr:col>
      <xdr:colOff>1287720</xdr:colOff>
      <xdr:row>24</xdr:row>
      <xdr:rowOff>259200</xdr:rowOff>
    </xdr:to>
    <xdr:pic>
      <xdr:nvPicPr>
        <xdr:cNvPr id="13" name="Picture 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645120" y="7994520"/>
          <a:ext cx="934560" cy="8848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265320</xdr:colOff>
      <xdr:row>31</xdr:row>
      <xdr:rowOff>68040</xdr:rowOff>
    </xdr:from>
    <xdr:to>
      <xdr:col>9</xdr:col>
      <xdr:colOff>1311840</xdr:colOff>
      <xdr:row>34</xdr:row>
      <xdr:rowOff>271800</xdr:rowOff>
    </xdr:to>
    <xdr:pic>
      <xdr:nvPicPr>
        <xdr:cNvPr id="14" name="Picture 6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9557280" y="9040680"/>
          <a:ext cx="1046520" cy="12610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265320</xdr:colOff>
      <xdr:row>35</xdr:row>
      <xdr:rowOff>68040</xdr:rowOff>
    </xdr:from>
    <xdr:to>
      <xdr:col>9</xdr:col>
      <xdr:colOff>1311840</xdr:colOff>
      <xdr:row>38</xdr:row>
      <xdr:rowOff>271800</xdr:rowOff>
    </xdr:to>
    <xdr:pic>
      <xdr:nvPicPr>
        <xdr:cNvPr id="15" name="Picture 7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9557280" y="10450440"/>
          <a:ext cx="1046520" cy="126072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265320</xdr:colOff>
      <xdr:row>39</xdr:row>
      <xdr:rowOff>68040</xdr:rowOff>
    </xdr:from>
    <xdr:to>
      <xdr:col>9</xdr:col>
      <xdr:colOff>1311840</xdr:colOff>
      <xdr:row>42</xdr:row>
      <xdr:rowOff>271800</xdr:rowOff>
    </xdr:to>
    <xdr:pic>
      <xdr:nvPicPr>
        <xdr:cNvPr id="16" name="Picture 8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9557280" y="11859840"/>
          <a:ext cx="1046520" cy="12610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25</xdr:row>
      <xdr:rowOff>79200</xdr:rowOff>
    </xdr:from>
    <xdr:to>
      <xdr:col>9</xdr:col>
      <xdr:colOff>1287720</xdr:colOff>
      <xdr:row>27</xdr:row>
      <xdr:rowOff>259200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767F3F83-6B57-4F12-952D-47C6CF8C4BF5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748275" y="8045564"/>
          <a:ext cx="934560" cy="890045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353160</xdr:colOff>
      <xdr:row>28</xdr:row>
      <xdr:rowOff>79200</xdr:rowOff>
    </xdr:from>
    <xdr:to>
      <xdr:col>9</xdr:col>
      <xdr:colOff>1287720</xdr:colOff>
      <xdr:row>30</xdr:row>
      <xdr:rowOff>259200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64068E48-8690-4BCB-A8D8-26E16C4EE590}"/>
            </a:ext>
          </a:extLst>
        </xdr:cNvPr>
        <xdr:cNvPicPr/>
      </xdr:nvPicPr>
      <xdr:blipFill>
        <a:blip xmlns:r="http://schemas.openxmlformats.org/officeDocument/2006/relationships" r:embed="rId1"/>
        <a:srcRect t="10139"/>
        <a:stretch/>
      </xdr:blipFill>
      <xdr:spPr>
        <a:xfrm>
          <a:off x="9748275" y="8045564"/>
          <a:ext cx="934560" cy="890045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profec-ventus.com/" TargetMode="External"/><Relationship Id="rId1" Type="http://schemas.openxmlformats.org/officeDocument/2006/relationships/hyperlink" Target="https://shop.profec-ventus.com/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P59"/>
  <sheetViews>
    <sheetView tabSelected="1" topLeftCell="A23" zoomScale="70" zoomScaleNormal="70" workbookViewId="0">
      <selection activeCell="F48" sqref="F48"/>
    </sheetView>
  </sheetViews>
  <sheetFormatPr defaultColWidth="9" defaultRowHeight="13.5" x14ac:dyDescent="0.35"/>
  <cols>
    <col min="1" max="1" width="7" style="15" customWidth="1"/>
    <col min="2" max="2" width="17.3984375" style="15" customWidth="1"/>
    <col min="3" max="3" width="38.1328125" style="15" customWidth="1"/>
    <col min="4" max="4" width="23" style="15" customWidth="1"/>
    <col min="5" max="6" width="7.1328125" style="15" customWidth="1"/>
    <col min="7" max="7" width="12.265625" style="15" customWidth="1"/>
    <col min="8" max="8" width="10.73046875" style="15" customWidth="1"/>
    <col min="9" max="10" width="13.73046875" style="15" customWidth="1"/>
    <col min="11" max="11" width="21.86328125" style="15" customWidth="1"/>
    <col min="12" max="12" width="18.86328125" style="15" customWidth="1"/>
    <col min="13" max="13" width="19.1328125" style="15" customWidth="1"/>
    <col min="14" max="14" width="17" style="15" customWidth="1"/>
    <col min="15" max="15" width="9.73046875" style="15" customWidth="1"/>
    <col min="16" max="16" width="23.73046875" style="15" customWidth="1"/>
    <col min="17" max="16384" width="9" style="15"/>
  </cols>
  <sheetData>
    <row r="1" spans="1:16" ht="24.75" x14ac:dyDescent="0.35">
      <c r="A1" s="14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6"/>
      <c r="M1" s="16"/>
      <c r="N1" s="16"/>
      <c r="O1" s="16"/>
      <c r="P1" s="16"/>
    </row>
    <row r="2" spans="1:16" ht="27.75" customHeight="1" x14ac:dyDescent="0.35">
      <c r="A2" s="13" t="s">
        <v>1</v>
      </c>
      <c r="B2" s="13"/>
      <c r="C2" s="17" t="s">
        <v>2</v>
      </c>
      <c r="D2" s="12" t="s">
        <v>3</v>
      </c>
      <c r="E2" s="11" t="s">
        <v>4</v>
      </c>
      <c r="F2" s="11"/>
      <c r="G2" s="11"/>
      <c r="H2" s="11"/>
      <c r="I2" s="10" t="s">
        <v>5</v>
      </c>
      <c r="J2" s="10"/>
      <c r="K2" s="10"/>
      <c r="M2" s="16"/>
      <c r="N2" s="16"/>
      <c r="O2" s="16"/>
      <c r="P2" s="16"/>
    </row>
    <row r="3" spans="1:16" ht="34.5" customHeight="1" x14ac:dyDescent="0.35">
      <c r="A3" s="9" t="s">
        <v>6</v>
      </c>
      <c r="B3" s="9"/>
      <c r="C3" s="18" t="s">
        <v>7</v>
      </c>
      <c r="D3" s="12"/>
      <c r="E3" s="8" t="s">
        <v>8</v>
      </c>
      <c r="F3" s="8"/>
      <c r="G3" s="8"/>
      <c r="H3" s="8"/>
      <c r="I3" s="19"/>
      <c r="J3" s="20"/>
      <c r="K3" s="21" t="s">
        <v>9</v>
      </c>
      <c r="L3" s="22"/>
      <c r="M3" s="22"/>
      <c r="P3" s="22"/>
    </row>
    <row r="4" spans="1:16" ht="32.25" customHeight="1" x14ac:dyDescent="0.35">
      <c r="A4" s="7" t="s">
        <v>10</v>
      </c>
      <c r="B4" s="7"/>
      <c r="C4" s="7"/>
      <c r="D4" s="7"/>
      <c r="E4" s="7"/>
      <c r="F4" s="7"/>
      <c r="G4" s="7"/>
      <c r="H4" s="7"/>
      <c r="I4" s="7"/>
      <c r="J4" s="7"/>
      <c r="K4" s="7"/>
      <c r="L4" s="23"/>
      <c r="M4" s="23"/>
      <c r="O4" s="23"/>
      <c r="P4" s="23"/>
    </row>
    <row r="5" spans="1:16" s="29" customFormat="1" ht="14.25" customHeight="1" x14ac:dyDescent="0.35">
      <c r="A5" s="6" t="s">
        <v>11</v>
      </c>
      <c r="B5" s="24" t="s">
        <v>12</v>
      </c>
      <c r="C5" s="25" t="s">
        <v>201</v>
      </c>
      <c r="D5" s="26"/>
      <c r="E5" s="6" t="s">
        <v>13</v>
      </c>
      <c r="F5" s="6"/>
      <c r="G5" s="5" t="s">
        <v>14</v>
      </c>
      <c r="H5" s="5"/>
      <c r="I5" s="5"/>
      <c r="J5" s="27"/>
      <c r="K5" s="28" t="s">
        <v>15</v>
      </c>
      <c r="L5" s="6" t="s">
        <v>16</v>
      </c>
      <c r="M5" s="4" t="s">
        <v>17</v>
      </c>
      <c r="N5" s="4"/>
      <c r="O5" s="3"/>
      <c r="P5" s="3"/>
    </row>
    <row r="6" spans="1:16" ht="15" customHeight="1" x14ac:dyDescent="0.35">
      <c r="A6" s="6"/>
      <c r="B6" s="30" t="s">
        <v>18</v>
      </c>
      <c r="C6" s="25" t="s">
        <v>202</v>
      </c>
      <c r="D6" s="26"/>
      <c r="E6" s="6"/>
      <c r="F6" s="6"/>
      <c r="G6" s="2" t="s">
        <v>19</v>
      </c>
      <c r="H6" s="2"/>
      <c r="I6" s="2"/>
      <c r="J6" s="31"/>
      <c r="K6" s="32" t="s">
        <v>15</v>
      </c>
      <c r="L6" s="6"/>
      <c r="M6" s="1" t="s">
        <v>20</v>
      </c>
      <c r="N6" s="1"/>
      <c r="O6" s="164"/>
      <c r="P6" s="164"/>
    </row>
    <row r="7" spans="1:16" ht="14.25" customHeight="1" x14ac:dyDescent="0.35">
      <c r="A7" s="6"/>
      <c r="B7" s="33" t="s">
        <v>21</v>
      </c>
      <c r="C7" s="25" t="s">
        <v>22</v>
      </c>
      <c r="D7" s="34"/>
      <c r="E7" s="6"/>
      <c r="F7" s="6"/>
      <c r="G7" s="2" t="s">
        <v>23</v>
      </c>
      <c r="H7" s="2"/>
      <c r="I7" s="2"/>
      <c r="J7" s="31"/>
      <c r="K7" s="32" t="s">
        <v>24</v>
      </c>
      <c r="L7" s="6"/>
      <c r="M7" s="1" t="s">
        <v>25</v>
      </c>
      <c r="N7" s="1"/>
      <c r="O7" s="164"/>
      <c r="P7" s="164"/>
    </row>
    <row r="8" spans="1:16" ht="14.25" customHeight="1" x14ac:dyDescent="0.4">
      <c r="A8" s="6"/>
      <c r="B8" s="33" t="s">
        <v>26</v>
      </c>
      <c r="C8" s="25">
        <v>1</v>
      </c>
      <c r="D8" s="35" t="s">
        <v>27</v>
      </c>
      <c r="E8" s="6"/>
      <c r="F8" s="6"/>
      <c r="G8" s="165"/>
      <c r="H8" s="165"/>
      <c r="I8" s="165"/>
      <c r="J8" s="36"/>
      <c r="K8" s="37"/>
      <c r="L8" s="6"/>
      <c r="M8" s="1" t="s">
        <v>28</v>
      </c>
      <c r="N8" s="1"/>
      <c r="O8" s="166" t="s">
        <v>200</v>
      </c>
      <c r="P8" s="166"/>
    </row>
    <row r="9" spans="1:16" ht="17.25" customHeight="1" x14ac:dyDescent="0.35">
      <c r="A9" s="6"/>
      <c r="B9" s="38" t="s">
        <v>29</v>
      </c>
      <c r="C9" s="39" t="s">
        <v>30</v>
      </c>
      <c r="D9" s="40"/>
      <c r="E9" s="6"/>
      <c r="F9" s="6"/>
      <c r="G9" s="167"/>
      <c r="H9" s="167"/>
      <c r="I9" s="167"/>
      <c r="J9" s="41"/>
      <c r="K9" s="42"/>
      <c r="L9" s="6"/>
      <c r="M9" s="168"/>
      <c r="N9" s="168"/>
      <c r="O9" s="169"/>
      <c r="P9" s="169"/>
    </row>
    <row r="10" spans="1:16" ht="13.9" x14ac:dyDescent="0.35">
      <c r="A10" s="43"/>
      <c r="B10" s="43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</row>
    <row r="11" spans="1:16" ht="31.5" customHeight="1" x14ac:dyDescent="0.35">
      <c r="A11" s="45" t="s">
        <v>31</v>
      </c>
      <c r="B11" s="46" t="s">
        <v>32</v>
      </c>
      <c r="C11" s="47" t="s">
        <v>33</v>
      </c>
      <c r="D11" s="47" t="s">
        <v>34</v>
      </c>
      <c r="E11" s="170" t="s">
        <v>35</v>
      </c>
      <c r="F11" s="170"/>
      <c r="G11" s="47" t="s">
        <v>36</v>
      </c>
      <c r="H11" s="47" t="s">
        <v>37</v>
      </c>
      <c r="I11" s="47" t="s">
        <v>38</v>
      </c>
      <c r="J11" s="48" t="s">
        <v>39</v>
      </c>
      <c r="K11" s="47" t="s">
        <v>40</v>
      </c>
      <c r="L11" s="49" t="s">
        <v>41</v>
      </c>
      <c r="M11" s="47" t="s">
        <v>42</v>
      </c>
      <c r="N11" s="47" t="s">
        <v>43</v>
      </c>
      <c r="O11" s="47" t="s">
        <v>44</v>
      </c>
      <c r="P11" s="50" t="s">
        <v>45</v>
      </c>
    </row>
    <row r="12" spans="1:16" s="59" customFormat="1" ht="49.5" customHeight="1" x14ac:dyDescent="0.45">
      <c r="A12" s="51"/>
      <c r="B12" s="52" t="s">
        <v>46</v>
      </c>
      <c r="C12" s="64" t="s">
        <v>47</v>
      </c>
      <c r="D12" s="217" t="s">
        <v>48</v>
      </c>
      <c r="E12" s="55" t="s">
        <v>49</v>
      </c>
      <c r="F12" s="54">
        <v>1</v>
      </c>
      <c r="G12" s="54" t="s">
        <v>50</v>
      </c>
      <c r="H12" s="53" t="s">
        <v>50</v>
      </c>
      <c r="I12" s="56">
        <v>160</v>
      </c>
      <c r="J12" s="57"/>
      <c r="K12" s="218" t="s">
        <v>245</v>
      </c>
      <c r="L12" s="56">
        <v>25443</v>
      </c>
      <c r="M12" s="56"/>
      <c r="N12" s="56"/>
      <c r="O12" s="53"/>
      <c r="P12" s="58"/>
    </row>
    <row r="13" spans="1:16" s="59" customFormat="1" ht="49.5" customHeight="1" x14ac:dyDescent="0.45">
      <c r="A13" s="51"/>
      <c r="B13" s="52" t="s">
        <v>46</v>
      </c>
      <c r="C13" s="64" t="s">
        <v>47</v>
      </c>
      <c r="D13" s="217" t="s">
        <v>48</v>
      </c>
      <c r="E13" s="55" t="s">
        <v>49</v>
      </c>
      <c r="F13" s="54">
        <v>2</v>
      </c>
      <c r="G13" s="54" t="s">
        <v>50</v>
      </c>
      <c r="H13" s="53" t="s">
        <v>50</v>
      </c>
      <c r="I13" s="56">
        <v>160</v>
      </c>
      <c r="J13" s="57"/>
      <c r="K13" s="218" t="s">
        <v>246</v>
      </c>
      <c r="L13" s="56">
        <v>25444</v>
      </c>
      <c r="M13" s="56"/>
      <c r="N13" s="56"/>
      <c r="O13" s="53"/>
      <c r="P13" s="58"/>
    </row>
    <row r="14" spans="1:16" s="59" customFormat="1" ht="49.5" customHeight="1" x14ac:dyDescent="0.45">
      <c r="A14" s="51"/>
      <c r="B14" s="52" t="s">
        <v>46</v>
      </c>
      <c r="C14" s="64" t="s">
        <v>47</v>
      </c>
      <c r="D14" s="217" t="s">
        <v>48</v>
      </c>
      <c r="E14" s="55" t="s">
        <v>49</v>
      </c>
      <c r="F14" s="54">
        <v>3</v>
      </c>
      <c r="G14" s="54" t="s">
        <v>50</v>
      </c>
      <c r="H14" s="53" t="s">
        <v>50</v>
      </c>
      <c r="I14" s="56">
        <v>130</v>
      </c>
      <c r="J14" s="57"/>
      <c r="K14" s="218" t="s">
        <v>247</v>
      </c>
      <c r="L14" s="56">
        <v>25445</v>
      </c>
      <c r="M14" s="56"/>
      <c r="N14" s="56"/>
      <c r="O14" s="53"/>
      <c r="P14" s="58"/>
    </row>
    <row r="15" spans="1:16" s="62" customFormat="1" ht="49.5" customHeight="1" x14ac:dyDescent="0.45">
      <c r="A15" s="51"/>
      <c r="B15" s="60" t="s">
        <v>46</v>
      </c>
      <c r="C15" s="64" t="s">
        <v>47</v>
      </c>
      <c r="D15" s="64" t="s">
        <v>48</v>
      </c>
      <c r="E15" s="55" t="s">
        <v>49</v>
      </c>
      <c r="F15" s="53">
        <v>4</v>
      </c>
      <c r="G15" s="54" t="s">
        <v>50</v>
      </c>
      <c r="H15" s="61" t="s">
        <v>50</v>
      </c>
      <c r="I15" s="56">
        <v>130</v>
      </c>
      <c r="J15" s="57"/>
      <c r="K15" s="218" t="s">
        <v>248</v>
      </c>
      <c r="L15" s="56">
        <v>25528</v>
      </c>
      <c r="M15" s="56"/>
      <c r="N15" s="56"/>
      <c r="O15" s="61"/>
      <c r="P15" s="58"/>
    </row>
    <row r="16" spans="1:16" s="62" customFormat="1" ht="49.5" customHeight="1" x14ac:dyDescent="0.45">
      <c r="A16" s="51"/>
      <c r="B16" s="60" t="s">
        <v>46</v>
      </c>
      <c r="C16" s="64" t="s">
        <v>47</v>
      </c>
      <c r="D16" s="64" t="s">
        <v>48</v>
      </c>
      <c r="E16" s="55" t="s">
        <v>49</v>
      </c>
      <c r="F16" s="53">
        <v>5</v>
      </c>
      <c r="G16" s="54" t="s">
        <v>50</v>
      </c>
      <c r="H16" s="61" t="s">
        <v>50</v>
      </c>
      <c r="I16" s="56">
        <v>110</v>
      </c>
      <c r="J16" s="57"/>
      <c r="K16" s="218" t="s">
        <v>249</v>
      </c>
      <c r="L16" s="56">
        <v>25529</v>
      </c>
      <c r="M16" s="56"/>
      <c r="N16" s="56"/>
      <c r="O16" s="61"/>
      <c r="P16" s="58"/>
    </row>
    <row r="17" spans="1:16" s="62" customFormat="1" ht="49.5" customHeight="1" x14ac:dyDescent="0.45">
      <c r="A17" s="51"/>
      <c r="B17" s="60" t="s">
        <v>46</v>
      </c>
      <c r="C17" s="64" t="s">
        <v>47</v>
      </c>
      <c r="D17" s="64" t="s">
        <v>48</v>
      </c>
      <c r="E17" s="55" t="s">
        <v>49</v>
      </c>
      <c r="F17" s="53">
        <v>6</v>
      </c>
      <c r="G17" s="54" t="s">
        <v>50</v>
      </c>
      <c r="H17" s="61" t="s">
        <v>50</v>
      </c>
      <c r="I17" s="56">
        <v>110</v>
      </c>
      <c r="J17" s="57"/>
      <c r="K17" s="218" t="s">
        <v>250</v>
      </c>
      <c r="L17" s="56">
        <v>25530</v>
      </c>
      <c r="M17" s="56"/>
      <c r="N17" s="56"/>
      <c r="O17" s="61"/>
      <c r="P17" s="58"/>
    </row>
    <row r="18" spans="1:16" s="62" customFormat="1" ht="49.5" customHeight="1" x14ac:dyDescent="0.45">
      <c r="A18" s="51"/>
      <c r="B18" s="60" t="s">
        <v>46</v>
      </c>
      <c r="C18" s="64" t="s">
        <v>47</v>
      </c>
      <c r="D18" s="64" t="s">
        <v>48</v>
      </c>
      <c r="E18" s="55" t="s">
        <v>49</v>
      </c>
      <c r="F18" s="53">
        <v>7</v>
      </c>
      <c r="G18" s="54" t="s">
        <v>50</v>
      </c>
      <c r="H18" s="61" t="s">
        <v>50</v>
      </c>
      <c r="I18" s="56">
        <v>90</v>
      </c>
      <c r="J18" s="57"/>
      <c r="K18" s="218" t="s">
        <v>251</v>
      </c>
      <c r="L18" s="56">
        <v>25531</v>
      </c>
      <c r="M18" s="56"/>
      <c r="N18" s="56"/>
      <c r="O18" s="61"/>
      <c r="P18" s="58"/>
    </row>
    <row r="19" spans="1:16" s="62" customFormat="1" ht="49.5" customHeight="1" x14ac:dyDescent="0.45">
      <c r="A19" s="51"/>
      <c r="B19" s="60" t="s">
        <v>46</v>
      </c>
      <c r="C19" s="64" t="s">
        <v>47</v>
      </c>
      <c r="D19" s="64" t="s">
        <v>48</v>
      </c>
      <c r="E19" s="55" t="s">
        <v>49</v>
      </c>
      <c r="F19" s="53">
        <v>8</v>
      </c>
      <c r="G19" s="54" t="s">
        <v>50</v>
      </c>
      <c r="H19" s="61" t="s">
        <v>50</v>
      </c>
      <c r="I19" s="56">
        <v>90</v>
      </c>
      <c r="J19" s="57"/>
      <c r="K19" s="218" t="s">
        <v>252</v>
      </c>
      <c r="L19" s="56">
        <v>25532</v>
      </c>
      <c r="M19" s="56"/>
      <c r="N19" s="56"/>
      <c r="O19" s="61"/>
      <c r="P19" s="58"/>
    </row>
    <row r="20" spans="1:16" s="62" customFormat="1" ht="49.5" customHeight="1" x14ac:dyDescent="0.45">
      <c r="A20" s="51"/>
      <c r="B20" s="60" t="s">
        <v>46</v>
      </c>
      <c r="C20" s="64" t="s">
        <v>47</v>
      </c>
      <c r="D20" s="64" t="s">
        <v>48</v>
      </c>
      <c r="E20" s="55" t="s">
        <v>49</v>
      </c>
      <c r="F20" s="53">
        <v>9</v>
      </c>
      <c r="G20" s="54" t="s">
        <v>50</v>
      </c>
      <c r="H20" s="61" t="s">
        <v>50</v>
      </c>
      <c r="I20" s="56">
        <v>40</v>
      </c>
      <c r="J20" s="57"/>
      <c r="K20" s="218" t="s">
        <v>253</v>
      </c>
      <c r="L20" s="56">
        <v>25533</v>
      </c>
      <c r="M20" s="56"/>
      <c r="N20" s="56"/>
      <c r="O20" s="61"/>
      <c r="P20" s="58"/>
    </row>
    <row r="21" spans="1:16" s="62" customFormat="1" ht="49.5" customHeight="1" x14ac:dyDescent="0.45">
      <c r="A21" s="51"/>
      <c r="B21" s="60" t="s">
        <v>46</v>
      </c>
      <c r="C21" s="64" t="s">
        <v>47</v>
      </c>
      <c r="D21" s="64" t="s">
        <v>48</v>
      </c>
      <c r="E21" s="55" t="s">
        <v>49</v>
      </c>
      <c r="F21" s="53">
        <v>10</v>
      </c>
      <c r="G21" s="54" t="s">
        <v>50</v>
      </c>
      <c r="H21" s="61" t="s">
        <v>50</v>
      </c>
      <c r="I21" s="56">
        <v>40</v>
      </c>
      <c r="J21" s="57"/>
      <c r="K21" s="218" t="s">
        <v>254</v>
      </c>
      <c r="L21" s="56">
        <v>25534</v>
      </c>
      <c r="M21" s="56"/>
      <c r="N21" s="56"/>
      <c r="O21" s="61"/>
      <c r="P21" s="58"/>
    </row>
    <row r="22" spans="1:16" s="62" customFormat="1" ht="49.5" customHeight="1" x14ac:dyDescent="0.45">
      <c r="A22" s="51"/>
      <c r="B22" s="216" t="s">
        <v>51</v>
      </c>
      <c r="C22" s="63" t="s">
        <v>52</v>
      </c>
      <c r="D22" s="64" t="s">
        <v>53</v>
      </c>
      <c r="E22" s="55" t="s">
        <v>54</v>
      </c>
      <c r="F22" s="53">
        <v>1</v>
      </c>
      <c r="G22" s="54" t="s">
        <v>55</v>
      </c>
      <c r="H22" s="61" t="s">
        <v>50</v>
      </c>
      <c r="I22" s="56">
        <v>155</v>
      </c>
      <c r="J22" s="57"/>
      <c r="K22" s="218" t="s">
        <v>255</v>
      </c>
      <c r="L22" s="56" t="s">
        <v>56</v>
      </c>
      <c r="M22" s="56" t="s">
        <v>56</v>
      </c>
      <c r="N22" s="56" t="s">
        <v>56</v>
      </c>
      <c r="O22" s="61"/>
      <c r="P22" s="65"/>
    </row>
    <row r="23" spans="1:16" s="62" customFormat="1" ht="49.5" customHeight="1" x14ac:dyDescent="0.45">
      <c r="A23" s="51"/>
      <c r="B23" s="216" t="s">
        <v>51</v>
      </c>
      <c r="C23" s="63" t="s">
        <v>52</v>
      </c>
      <c r="D23" s="64" t="s">
        <v>53</v>
      </c>
      <c r="E23" s="54" t="s">
        <v>54</v>
      </c>
      <c r="F23" s="53">
        <v>2</v>
      </c>
      <c r="G23" s="54" t="s">
        <v>55</v>
      </c>
      <c r="H23" s="61" t="s">
        <v>50</v>
      </c>
      <c r="I23" s="56">
        <v>125</v>
      </c>
      <c r="J23" s="57"/>
      <c r="K23" s="218" t="s">
        <v>256</v>
      </c>
      <c r="L23" s="56" t="s">
        <v>56</v>
      </c>
      <c r="M23" s="56" t="s">
        <v>56</v>
      </c>
      <c r="N23" s="56" t="s">
        <v>56</v>
      </c>
      <c r="O23" s="61"/>
      <c r="P23" s="65"/>
    </row>
    <row r="24" spans="1:16" s="62" customFormat="1" ht="49.5" customHeight="1" x14ac:dyDescent="0.45">
      <c r="A24" s="51"/>
      <c r="B24" s="216" t="s">
        <v>51</v>
      </c>
      <c r="C24" s="63" t="s">
        <v>52</v>
      </c>
      <c r="D24" s="64" t="s">
        <v>53</v>
      </c>
      <c r="E24" s="54" t="s">
        <v>54</v>
      </c>
      <c r="F24" s="53">
        <v>3</v>
      </c>
      <c r="G24" s="54" t="s">
        <v>55</v>
      </c>
      <c r="H24" s="61" t="s">
        <v>50</v>
      </c>
      <c r="I24" s="56">
        <v>105</v>
      </c>
      <c r="J24" s="57"/>
      <c r="K24" s="218" t="s">
        <v>257</v>
      </c>
      <c r="L24" s="56" t="s">
        <v>56</v>
      </c>
      <c r="M24" s="56" t="s">
        <v>56</v>
      </c>
      <c r="N24" s="56" t="s">
        <v>56</v>
      </c>
      <c r="O24" s="61"/>
      <c r="P24" s="65"/>
    </row>
    <row r="25" spans="1:16" s="62" customFormat="1" ht="49.5" customHeight="1" x14ac:dyDescent="0.45">
      <c r="A25" s="66"/>
      <c r="B25" s="216" t="s">
        <v>57</v>
      </c>
      <c r="C25" s="63" t="s">
        <v>58</v>
      </c>
      <c r="D25" s="64" t="s">
        <v>59</v>
      </c>
      <c r="E25" s="54" t="s">
        <v>60</v>
      </c>
      <c r="F25" s="53">
        <v>1</v>
      </c>
      <c r="G25" s="54" t="s">
        <v>55</v>
      </c>
      <c r="H25" s="61" t="s">
        <v>50</v>
      </c>
      <c r="I25" s="56">
        <v>150</v>
      </c>
      <c r="J25" s="57"/>
      <c r="K25" s="56">
        <v>277001</v>
      </c>
      <c r="L25" s="56" t="s">
        <v>56</v>
      </c>
      <c r="M25" s="56" t="s">
        <v>56</v>
      </c>
      <c r="N25" s="56" t="s">
        <v>56</v>
      </c>
      <c r="O25" s="61"/>
      <c r="P25" s="58"/>
    </row>
    <row r="26" spans="1:16" s="62" customFormat="1" ht="49.5" customHeight="1" x14ac:dyDescent="0.45">
      <c r="A26" s="66"/>
      <c r="B26" s="216" t="s">
        <v>57</v>
      </c>
      <c r="C26" s="63" t="s">
        <v>58</v>
      </c>
      <c r="D26" s="64" t="s">
        <v>59</v>
      </c>
      <c r="E26" s="54" t="s">
        <v>60</v>
      </c>
      <c r="F26" s="53">
        <v>2</v>
      </c>
      <c r="G26" s="54" t="s">
        <v>55</v>
      </c>
      <c r="H26" s="61" t="s">
        <v>50</v>
      </c>
      <c r="I26" s="56">
        <v>5</v>
      </c>
      <c r="J26" s="57"/>
      <c r="K26" s="56">
        <v>277002</v>
      </c>
      <c r="L26" s="56" t="s">
        <v>56</v>
      </c>
      <c r="M26" s="56" t="s">
        <v>56</v>
      </c>
      <c r="N26" s="56" t="s">
        <v>56</v>
      </c>
      <c r="O26" s="61"/>
      <c r="P26" s="58"/>
    </row>
    <row r="27" spans="1:16" s="62" customFormat="1" ht="49.5" customHeight="1" x14ac:dyDescent="0.45">
      <c r="A27" s="66"/>
      <c r="B27" s="60" t="s">
        <v>61</v>
      </c>
      <c r="C27" s="64" t="s">
        <v>62</v>
      </c>
      <c r="D27" s="64" t="s">
        <v>63</v>
      </c>
      <c r="E27" s="54" t="s">
        <v>64</v>
      </c>
      <c r="F27" s="53">
        <v>1</v>
      </c>
      <c r="G27" s="54" t="s">
        <v>55</v>
      </c>
      <c r="H27" s="61" t="s">
        <v>50</v>
      </c>
      <c r="I27" s="56">
        <v>150</v>
      </c>
      <c r="J27" s="57"/>
      <c r="K27" s="218" t="s">
        <v>258</v>
      </c>
      <c r="L27" s="56" t="s">
        <v>56</v>
      </c>
      <c r="M27" s="56" t="s">
        <v>56</v>
      </c>
      <c r="N27" s="56" t="s">
        <v>56</v>
      </c>
      <c r="O27" s="61"/>
      <c r="P27" s="65"/>
    </row>
    <row r="28" spans="1:16" s="62" customFormat="1" ht="49.5" customHeight="1" x14ac:dyDescent="0.45">
      <c r="A28" s="66"/>
      <c r="B28" s="60" t="s">
        <v>61</v>
      </c>
      <c r="C28" s="64" t="s">
        <v>62</v>
      </c>
      <c r="D28" s="64" t="s">
        <v>63</v>
      </c>
      <c r="E28" s="54" t="s">
        <v>64</v>
      </c>
      <c r="F28" s="53">
        <v>2</v>
      </c>
      <c r="G28" s="54" t="s">
        <v>55</v>
      </c>
      <c r="H28" s="61" t="s">
        <v>50</v>
      </c>
      <c r="I28" s="56">
        <v>5</v>
      </c>
      <c r="J28" s="67"/>
      <c r="K28" s="218" t="s">
        <v>259</v>
      </c>
      <c r="L28" s="56" t="s">
        <v>56</v>
      </c>
      <c r="M28" s="56" t="s">
        <v>56</v>
      </c>
      <c r="N28" s="56" t="s">
        <v>56</v>
      </c>
      <c r="O28" s="61"/>
      <c r="P28" s="65"/>
    </row>
    <row r="29" spans="1:16" s="62" customFormat="1" ht="0.75" customHeight="1" x14ac:dyDescent="0.45">
      <c r="A29" s="68"/>
      <c r="B29" s="68"/>
      <c r="C29" s="69"/>
      <c r="D29" s="69"/>
      <c r="E29" s="70"/>
      <c r="F29" s="69"/>
      <c r="G29" s="70"/>
      <c r="H29" s="71"/>
      <c r="I29" s="72"/>
      <c r="J29" s="72"/>
      <c r="K29" s="70"/>
      <c r="L29" s="72"/>
      <c r="M29" s="72"/>
      <c r="N29" s="72"/>
      <c r="O29" s="72"/>
      <c r="P29" s="71"/>
    </row>
    <row r="30" spans="1:16" s="62" customFormat="1" ht="13.9" hidden="1" x14ac:dyDescent="0.45">
      <c r="A30" s="60"/>
      <c r="B30" s="60"/>
      <c r="C30" s="61"/>
      <c r="D30" s="53"/>
      <c r="E30" s="54"/>
      <c r="F30" s="53"/>
      <c r="G30" s="54"/>
      <c r="H30" s="61"/>
      <c r="I30" s="56"/>
      <c r="J30" s="56"/>
      <c r="K30" s="54"/>
      <c r="L30" s="56"/>
      <c r="M30" s="56"/>
      <c r="N30" s="56"/>
      <c r="O30" s="56"/>
      <c r="P30" s="61"/>
    </row>
    <row r="31" spans="1:16" s="62" customFormat="1" ht="13.9" hidden="1" x14ac:dyDescent="0.45">
      <c r="A31" s="60"/>
      <c r="B31" s="60"/>
      <c r="C31" s="61"/>
      <c r="D31" s="53"/>
      <c r="E31" s="54"/>
      <c r="F31" s="53"/>
      <c r="G31" s="54"/>
      <c r="H31" s="61"/>
      <c r="I31" s="73"/>
      <c r="J31" s="73"/>
      <c r="K31" s="54"/>
      <c r="L31" s="56"/>
      <c r="M31" s="56"/>
      <c r="N31" s="56"/>
      <c r="O31" s="56"/>
      <c r="P31" s="61"/>
    </row>
    <row r="32" spans="1:16" s="62" customFormat="1" ht="13.9" hidden="1" x14ac:dyDescent="0.45">
      <c r="A32" s="60"/>
      <c r="B32" s="60"/>
      <c r="C32" s="53"/>
      <c r="D32" s="53"/>
      <c r="E32" s="54"/>
      <c r="F32" s="53"/>
      <c r="G32" s="54"/>
      <c r="H32" s="61"/>
      <c r="I32" s="56"/>
      <c r="J32" s="56"/>
      <c r="K32" s="54"/>
      <c r="L32" s="56"/>
      <c r="M32" s="56"/>
      <c r="N32" s="56"/>
      <c r="O32" s="56"/>
      <c r="P32" s="61"/>
    </row>
    <row r="33" spans="1:16" s="62" customFormat="1" ht="13.9" hidden="1" x14ac:dyDescent="0.45">
      <c r="A33" s="60"/>
      <c r="B33" s="60"/>
      <c r="C33" s="53"/>
      <c r="D33" s="53"/>
      <c r="E33" s="54"/>
      <c r="F33" s="53"/>
      <c r="G33" s="54"/>
      <c r="H33" s="61"/>
      <c r="I33" s="56"/>
      <c r="J33" s="56"/>
      <c r="K33" s="54"/>
      <c r="L33" s="56"/>
      <c r="M33" s="56"/>
      <c r="N33" s="56"/>
      <c r="O33" s="56"/>
      <c r="P33" s="61"/>
    </row>
    <row r="34" spans="1:16" s="62" customFormat="1" ht="13.9" hidden="1" x14ac:dyDescent="0.45">
      <c r="A34" s="60"/>
      <c r="B34" s="60"/>
      <c r="C34" s="53"/>
      <c r="D34" s="54"/>
      <c r="E34" s="54"/>
      <c r="F34" s="54"/>
      <c r="G34" s="54"/>
      <c r="H34" s="61"/>
      <c r="I34" s="56"/>
      <c r="J34" s="56"/>
      <c r="K34" s="54"/>
      <c r="L34" s="56"/>
      <c r="M34" s="56"/>
      <c r="N34" s="56"/>
      <c r="O34" s="56"/>
      <c r="P34" s="61"/>
    </row>
    <row r="35" spans="1:16" s="62" customFormat="1" ht="13.9" hidden="1" x14ac:dyDescent="0.45">
      <c r="A35" s="60"/>
      <c r="B35" s="60"/>
      <c r="C35" s="54"/>
      <c r="D35" s="54"/>
      <c r="E35" s="54"/>
      <c r="F35" s="54"/>
      <c r="G35" s="54"/>
      <c r="H35" s="61"/>
      <c r="I35" s="56"/>
      <c r="J35" s="56"/>
      <c r="K35" s="54"/>
      <c r="L35" s="56"/>
      <c r="M35" s="56"/>
      <c r="N35" s="56"/>
      <c r="O35" s="56"/>
      <c r="P35" s="61"/>
    </row>
    <row r="36" spans="1:16" s="62" customFormat="1" ht="13.9" hidden="1" x14ac:dyDescent="0.45">
      <c r="A36" s="60"/>
      <c r="B36" s="60"/>
      <c r="C36" s="53"/>
      <c r="D36" s="53"/>
      <c r="E36" s="54"/>
      <c r="F36" s="53"/>
      <c r="G36" s="54"/>
      <c r="H36" s="61"/>
      <c r="I36" s="56"/>
      <c r="J36" s="56"/>
      <c r="K36" s="54"/>
      <c r="L36" s="56"/>
      <c r="M36" s="56"/>
      <c r="N36" s="56"/>
      <c r="O36" s="56"/>
      <c r="P36" s="61"/>
    </row>
    <row r="37" spans="1:16" s="62" customFormat="1" ht="13.9" hidden="1" x14ac:dyDescent="0.45">
      <c r="A37" s="60"/>
      <c r="B37" s="60"/>
      <c r="C37" s="53"/>
      <c r="D37" s="54"/>
      <c r="E37" s="54"/>
      <c r="F37" s="54"/>
      <c r="G37" s="54"/>
      <c r="H37" s="61"/>
      <c r="I37" s="56"/>
      <c r="J37" s="56"/>
      <c r="K37" s="54"/>
      <c r="L37" s="56"/>
      <c r="M37" s="56"/>
      <c r="N37" s="56"/>
      <c r="O37" s="56"/>
      <c r="P37" s="61"/>
    </row>
    <row r="38" spans="1:16" s="62" customFormat="1" ht="13.9" hidden="1" x14ac:dyDescent="0.45">
      <c r="A38" s="60"/>
      <c r="B38" s="60"/>
      <c r="C38" s="53"/>
      <c r="D38" s="54"/>
      <c r="E38" s="54"/>
      <c r="F38" s="54"/>
      <c r="G38" s="54"/>
      <c r="H38" s="61"/>
      <c r="I38" s="56"/>
      <c r="J38" s="56"/>
      <c r="K38" s="54"/>
      <c r="L38" s="56"/>
      <c r="M38" s="56"/>
      <c r="N38" s="56"/>
      <c r="O38" s="56"/>
      <c r="P38" s="61"/>
    </row>
    <row r="39" spans="1:16" s="62" customFormat="1" ht="13.9" hidden="1" x14ac:dyDescent="0.45">
      <c r="A39" s="74"/>
      <c r="B39" s="52"/>
      <c r="C39" s="53"/>
      <c r="D39" s="54"/>
      <c r="E39" s="54"/>
      <c r="F39" s="54"/>
      <c r="G39" s="54"/>
      <c r="H39" s="61"/>
      <c r="I39" s="56"/>
      <c r="J39" s="56"/>
      <c r="K39" s="54"/>
      <c r="L39" s="56"/>
      <c r="M39" s="56"/>
      <c r="N39" s="56"/>
      <c r="O39" s="56"/>
      <c r="P39" s="61"/>
    </row>
    <row r="40" spans="1:16" s="75" customFormat="1" ht="13.9" hidden="1" x14ac:dyDescent="0.35">
      <c r="A40" s="60"/>
      <c r="B40" s="60"/>
      <c r="C40" s="53"/>
      <c r="D40" s="54"/>
      <c r="E40" s="54"/>
      <c r="F40" s="54"/>
      <c r="G40" s="54"/>
      <c r="H40" s="61"/>
      <c r="I40" s="56"/>
      <c r="J40" s="56"/>
      <c r="K40" s="54"/>
      <c r="L40" s="56"/>
      <c r="M40" s="56"/>
      <c r="N40" s="56"/>
      <c r="O40" s="56"/>
      <c r="P40" s="61"/>
    </row>
    <row r="41" spans="1:16" hidden="1" x14ac:dyDescent="0.35"/>
    <row r="42" spans="1:16" hidden="1" x14ac:dyDescent="0.35"/>
    <row r="44" spans="1:16" ht="2.25" customHeight="1" x14ac:dyDescent="0.35"/>
    <row r="47" spans="1:16" ht="27.75" customHeight="1" x14ac:dyDescent="0.4">
      <c r="A47" s="171" t="s">
        <v>65</v>
      </c>
      <c r="B47" s="171"/>
      <c r="C47" s="171"/>
      <c r="D47" s="76" t="s">
        <v>40</v>
      </c>
      <c r="E47" s="77"/>
      <c r="F47" s="77"/>
      <c r="G47" s="172" t="s">
        <v>66</v>
      </c>
      <c r="H47" s="172"/>
      <c r="I47" s="172"/>
      <c r="J47" s="172"/>
      <c r="K47" s="172"/>
      <c r="L47" s="172"/>
      <c r="N47" s="173" t="s">
        <v>67</v>
      </c>
      <c r="O47" s="173"/>
      <c r="P47" s="173"/>
    </row>
    <row r="48" spans="1:16" s="81" customFormat="1" ht="20.25" customHeight="1" x14ac:dyDescent="0.45">
      <c r="A48" s="174">
        <v>1</v>
      </c>
      <c r="B48" s="175" t="s">
        <v>68</v>
      </c>
      <c r="C48" s="176" t="s">
        <v>203</v>
      </c>
      <c r="D48" s="177">
        <v>55825</v>
      </c>
      <c r="E48" s="78"/>
      <c r="F48" s="78"/>
      <c r="G48" s="79">
        <v>1</v>
      </c>
      <c r="H48" s="178" t="s">
        <v>69</v>
      </c>
      <c r="I48" s="178"/>
      <c r="J48" s="178"/>
      <c r="K48" s="178"/>
      <c r="L48" s="80" t="s">
        <v>70</v>
      </c>
      <c r="N48" s="179" t="s">
        <v>71</v>
      </c>
      <c r="O48" s="179"/>
      <c r="P48" s="179"/>
    </row>
    <row r="49" spans="1:16" s="81" customFormat="1" ht="20.25" customHeight="1" x14ac:dyDescent="0.45">
      <c r="A49" s="174"/>
      <c r="B49" s="175"/>
      <c r="C49" s="176"/>
      <c r="D49" s="177"/>
      <c r="E49" s="78"/>
      <c r="F49" s="78"/>
      <c r="G49" s="82">
        <v>2</v>
      </c>
      <c r="H49" s="180" t="s">
        <v>72</v>
      </c>
      <c r="I49" s="180"/>
      <c r="J49" s="180"/>
      <c r="K49" s="180"/>
      <c r="L49" s="83" t="s">
        <v>70</v>
      </c>
      <c r="N49" s="91" t="s">
        <v>70</v>
      </c>
      <c r="O49" s="84" t="s">
        <v>84</v>
      </c>
      <c r="P49" s="85"/>
    </row>
    <row r="50" spans="1:16" s="81" customFormat="1" ht="20.25" customHeight="1" x14ac:dyDescent="0.45">
      <c r="A50" s="181">
        <v>2</v>
      </c>
      <c r="B50" s="182" t="s">
        <v>73</v>
      </c>
      <c r="C50" s="183" t="s">
        <v>74</v>
      </c>
      <c r="D50" s="184" t="s">
        <v>75</v>
      </c>
      <c r="E50" s="78"/>
      <c r="F50" s="78"/>
      <c r="G50" s="82">
        <v>3</v>
      </c>
      <c r="H50" s="180" t="s">
        <v>76</v>
      </c>
      <c r="I50" s="180"/>
      <c r="J50" s="180"/>
      <c r="K50" s="180"/>
      <c r="L50" s="83" t="s">
        <v>70</v>
      </c>
      <c r="N50" s="91" t="s">
        <v>70</v>
      </c>
      <c r="O50" s="84" t="s">
        <v>77</v>
      </c>
      <c r="P50" s="85"/>
    </row>
    <row r="51" spans="1:16" s="81" customFormat="1" ht="20.25" customHeight="1" x14ac:dyDescent="0.45">
      <c r="A51" s="181"/>
      <c r="B51" s="182"/>
      <c r="C51" s="183"/>
      <c r="D51" s="184"/>
      <c r="E51" s="78"/>
      <c r="F51" s="78"/>
      <c r="G51" s="82">
        <v>4</v>
      </c>
      <c r="H51" s="185" t="s">
        <v>78</v>
      </c>
      <c r="I51" s="185"/>
      <c r="J51" s="185"/>
      <c r="K51" s="185"/>
      <c r="L51" s="87" t="s">
        <v>70</v>
      </c>
      <c r="N51" s="92" t="s">
        <v>70</v>
      </c>
      <c r="O51" s="88" t="s">
        <v>205</v>
      </c>
      <c r="P51" s="89"/>
    </row>
    <row r="52" spans="1:16" s="81" customFormat="1" ht="20.25" customHeight="1" x14ac:dyDescent="0.45">
      <c r="A52" s="181">
        <v>3</v>
      </c>
      <c r="B52" s="182" t="s">
        <v>79</v>
      </c>
      <c r="C52" s="183" t="s">
        <v>204</v>
      </c>
      <c r="D52" s="184">
        <v>6001525324</v>
      </c>
      <c r="E52" s="78"/>
      <c r="F52" s="78"/>
      <c r="G52" s="186" t="s">
        <v>81</v>
      </c>
      <c r="H52" s="186"/>
      <c r="I52" s="186"/>
      <c r="J52" s="186"/>
      <c r="K52" s="186"/>
      <c r="L52" s="186"/>
      <c r="N52" s="179" t="s">
        <v>82</v>
      </c>
      <c r="O52" s="179"/>
      <c r="P52" s="179"/>
    </row>
    <row r="53" spans="1:16" ht="20.25" customHeight="1" x14ac:dyDescent="0.4">
      <c r="A53" s="181"/>
      <c r="B53" s="182"/>
      <c r="C53" s="183"/>
      <c r="D53" s="184"/>
      <c r="E53" s="77"/>
      <c r="F53" s="77"/>
      <c r="G53" s="82">
        <v>1</v>
      </c>
      <c r="H53" s="185" t="s">
        <v>83</v>
      </c>
      <c r="I53" s="185"/>
      <c r="J53" s="185"/>
      <c r="K53" s="185"/>
      <c r="L53" s="90"/>
      <c r="N53" s="91"/>
      <c r="O53" s="84" t="s">
        <v>84</v>
      </c>
      <c r="P53" s="85"/>
    </row>
    <row r="54" spans="1:16" ht="20.25" customHeight="1" x14ac:dyDescent="0.4">
      <c r="A54" s="181">
        <v>4</v>
      </c>
      <c r="B54" s="182" t="s">
        <v>85</v>
      </c>
      <c r="C54" s="187" t="s">
        <v>86</v>
      </c>
      <c r="D54" s="184" t="s">
        <v>80</v>
      </c>
      <c r="E54" s="77"/>
      <c r="F54" s="77"/>
      <c r="G54" s="82">
        <v>2</v>
      </c>
      <c r="H54" s="185" t="s">
        <v>87</v>
      </c>
      <c r="I54" s="185"/>
      <c r="J54" s="185"/>
      <c r="K54" s="185"/>
      <c r="L54" s="83" t="s">
        <v>70</v>
      </c>
      <c r="N54" s="91"/>
      <c r="O54" s="84" t="s">
        <v>77</v>
      </c>
      <c r="P54" s="85"/>
    </row>
    <row r="55" spans="1:16" ht="20.25" customHeight="1" x14ac:dyDescent="0.4">
      <c r="A55" s="181"/>
      <c r="B55" s="182"/>
      <c r="C55" s="187"/>
      <c r="D55" s="184"/>
      <c r="E55" s="77"/>
      <c r="F55" s="77"/>
      <c r="G55" s="82">
        <v>3</v>
      </c>
      <c r="H55" s="185" t="s">
        <v>88</v>
      </c>
      <c r="I55" s="185"/>
      <c r="J55" s="185"/>
      <c r="K55" s="185"/>
      <c r="L55" s="83" t="s">
        <v>70</v>
      </c>
      <c r="N55" s="92"/>
      <c r="O55" s="88" t="s">
        <v>89</v>
      </c>
      <c r="P55" s="89"/>
    </row>
    <row r="56" spans="1:16" ht="20.25" customHeight="1" x14ac:dyDescent="0.4">
      <c r="A56" s="181">
        <v>5</v>
      </c>
      <c r="B56" s="182" t="s">
        <v>90</v>
      </c>
      <c r="C56" s="188" t="s">
        <v>91</v>
      </c>
      <c r="D56" s="184" t="s">
        <v>92</v>
      </c>
      <c r="E56" s="77"/>
      <c r="F56" s="77"/>
      <c r="G56" s="82">
        <v>4</v>
      </c>
      <c r="H56" s="86" t="s">
        <v>93</v>
      </c>
      <c r="I56" s="86"/>
      <c r="J56" s="86"/>
      <c r="K56" s="86"/>
      <c r="L56" s="87" t="s">
        <v>70</v>
      </c>
      <c r="M56" s="93"/>
      <c r="N56" s="93"/>
      <c r="O56" s="77"/>
      <c r="P56" s="77"/>
    </row>
    <row r="57" spans="1:16" ht="20.25" customHeight="1" x14ac:dyDescent="0.4">
      <c r="A57" s="181"/>
      <c r="B57" s="182"/>
      <c r="C57" s="188"/>
      <c r="D57" s="184"/>
      <c r="E57" s="77"/>
      <c r="F57" s="77"/>
      <c r="G57" s="94">
        <v>5</v>
      </c>
      <c r="H57" s="189"/>
      <c r="I57" s="189"/>
      <c r="J57" s="189"/>
      <c r="K57" s="189"/>
      <c r="L57" s="95"/>
      <c r="M57" s="77"/>
      <c r="N57" s="77"/>
    </row>
    <row r="58" spans="1:16" s="81" customFormat="1" ht="20.25" customHeight="1" x14ac:dyDescent="0.45">
      <c r="A58" s="190">
        <v>6</v>
      </c>
      <c r="B58" s="191"/>
      <c r="C58" s="192"/>
      <c r="D58" s="193"/>
    </row>
    <row r="59" spans="1:16" s="81" customFormat="1" ht="20.25" customHeight="1" x14ac:dyDescent="0.45">
      <c r="A59" s="190"/>
      <c r="B59" s="191"/>
      <c r="C59" s="192"/>
      <c r="D59" s="193"/>
    </row>
  </sheetData>
  <mergeCells count="65">
    <mergeCell ref="A58:A59"/>
    <mergeCell ref="B58:B59"/>
    <mergeCell ref="C58:C59"/>
    <mergeCell ref="D58:D59"/>
    <mergeCell ref="A56:A57"/>
    <mergeCell ref="B56:B57"/>
    <mergeCell ref="C56:C57"/>
    <mergeCell ref="D56:D57"/>
    <mergeCell ref="H57:K57"/>
    <mergeCell ref="N52:P52"/>
    <mergeCell ref="H53:K53"/>
    <mergeCell ref="A54:A55"/>
    <mergeCell ref="B54:B55"/>
    <mergeCell ref="C54:C55"/>
    <mergeCell ref="D54:D55"/>
    <mergeCell ref="H54:K54"/>
    <mergeCell ref="H55:K55"/>
    <mergeCell ref="A52:A53"/>
    <mergeCell ref="B52:B53"/>
    <mergeCell ref="C52:C53"/>
    <mergeCell ref="D52:D53"/>
    <mergeCell ref="G52:L52"/>
    <mergeCell ref="N48:P48"/>
    <mergeCell ref="H49:K49"/>
    <mergeCell ref="A50:A51"/>
    <mergeCell ref="B50:B51"/>
    <mergeCell ref="C50:C51"/>
    <mergeCell ref="D50:D51"/>
    <mergeCell ref="H50:K50"/>
    <mergeCell ref="H51:K51"/>
    <mergeCell ref="A48:A49"/>
    <mergeCell ref="B48:B49"/>
    <mergeCell ref="C48:C49"/>
    <mergeCell ref="D48:D49"/>
    <mergeCell ref="H48:K48"/>
    <mergeCell ref="M9:N9"/>
    <mergeCell ref="O9:P9"/>
    <mergeCell ref="E11:F11"/>
    <mergeCell ref="A47:C47"/>
    <mergeCell ref="G47:L47"/>
    <mergeCell ref="N47:P47"/>
    <mergeCell ref="M7:N7"/>
    <mergeCell ref="O7:P7"/>
    <mergeCell ref="G8:I8"/>
    <mergeCell ref="M8:N8"/>
    <mergeCell ref="O8:P8"/>
    <mergeCell ref="M5:N5"/>
    <mergeCell ref="O5:P5"/>
    <mergeCell ref="G6:I6"/>
    <mergeCell ref="M6:N6"/>
    <mergeCell ref="O6:P6"/>
    <mergeCell ref="A4:K4"/>
    <mergeCell ref="A5:A9"/>
    <mergeCell ref="E5:F9"/>
    <mergeCell ref="G5:I5"/>
    <mergeCell ref="L5:L9"/>
    <mergeCell ref="G7:I7"/>
    <mergeCell ref="G9:I9"/>
    <mergeCell ref="A1:K1"/>
    <mergeCell ref="A2:B2"/>
    <mergeCell ref="D2:D3"/>
    <mergeCell ref="E2:H2"/>
    <mergeCell ref="I2:K2"/>
    <mergeCell ref="A3:B3"/>
    <mergeCell ref="E3:H3"/>
  </mergeCells>
  <dataValidations disablePrompts="1" count="3">
    <dataValidation type="list" allowBlank="1" showInputMessage="1" showErrorMessage="1" sqref="G12:H40" xr:uid="{00000000-0002-0000-0000-000000000000}">
      <formula1>"Yes,No,N/A"</formula1>
      <formula2>0</formula2>
    </dataValidation>
    <dataValidation type="list" allowBlank="1" showErrorMessage="1" sqref="E12" xr:uid="{00000000-0002-0000-0000-000002000000}">
      <formula1>"V,D,TH,T,P,R,DL,US,M,PY,AL"</formula1>
      <formula2>0</formula2>
    </dataValidation>
    <dataValidation type="list" allowBlank="1" showInputMessage="1" showErrorMessage="1" sqref="E13:E40" xr:uid="{00000000-0002-0000-0000-000003000000}">
      <formula1>"V,D,TH,T,P,R,DL,US,M,PY,AL"</formula1>
      <formula2>0</formula2>
    </dataValidation>
  </dataValidations>
  <printOptions horizontalCentered="1"/>
  <pageMargins left="0.25" right="0.25" top="0.75" bottom="0.75" header="0.511811023622047" footer="0.511811023622047"/>
  <pageSetup paperSize="9" orientation="landscape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3" name="shape_0">
              <controlPr defaultSize="0" autoPict="0">
                <anchor moveWithCells="1" sizeWithCells="1">
                  <from>
                    <xdr:col>4</xdr:col>
                    <xdr:colOff>4763</xdr:colOff>
                    <xdr:row>2</xdr:row>
                    <xdr:rowOff>0</xdr:rowOff>
                  </from>
                  <to>
                    <xdr:col>7</xdr:col>
                    <xdr:colOff>204788</xdr:colOff>
                    <xdr:row>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" name="Button 30">
              <controlPr defaultSize="0" autoPict="0">
                <anchor moveWithCells="1" sizeWithCells="1">
                  <from>
                    <xdr:col>2</xdr:col>
                    <xdr:colOff>19050</xdr:colOff>
                    <xdr:row>2</xdr:row>
                    <xdr:rowOff>4763</xdr:rowOff>
                  </from>
                  <to>
                    <xdr:col>3</xdr:col>
                    <xdr:colOff>476250</xdr:colOff>
                    <xdr:row>3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" name="Button 29">
              <controlPr defaultSize="0" autoPict="0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1</xdr:col>
                    <xdr:colOff>395288</xdr:colOff>
                    <xdr:row>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263">
              <controlPr defaultSize="0" autoFill="0" autoLine="0" autoPict="0" altText="Check Box 26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206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252">
              <controlPr defaultSize="0" autoFill="0" autoLine="0" autoPict="0" altText="Check Box 25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Check Box 253">
              <controlPr defaultSize="0" autoFill="0" autoLine="0" autoPict="0" altText="Check Box 25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251">
              <controlPr defaultSize="0" autoFill="0" autoLine="0" autoPict="0" altText="Check Box 25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Check Box 230">
              <controlPr defaultSize="0" autoFill="0" autoLine="0" autoPict="0" altText="Check Box 23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2" name="Check Box 250">
              <controlPr defaultSize="0" autoFill="0" autoLine="0" autoPict="0" altText="Check Box 25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3" name="CommandButton1">
              <controlPr defaultSize="0" autoFill="0" autoPict="0" altText="Update">
                <anchor moveWithCells="1">
                  <from>
                    <xdr:col>4</xdr:col>
                    <xdr:colOff>14288</xdr:colOff>
                    <xdr:row>2</xdr:row>
                    <xdr:rowOff>0</xdr:rowOff>
                  </from>
                  <to>
                    <xdr:col>7</xdr:col>
                    <xdr:colOff>414338</xdr:colOff>
                    <xdr:row>3</xdr:row>
                    <xdr:rowOff>-147638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4" name="CommandButton2">
              <controlPr defaultSize="0" autoFill="0" autoPict="0" altText="Clear">
                <anchor moveWithCells="1">
                  <from>
                    <xdr:col>2</xdr:col>
                    <xdr:colOff>38100</xdr:colOff>
                    <xdr:row>2</xdr:row>
                    <xdr:rowOff>4763</xdr:rowOff>
                  </from>
                  <to>
                    <xdr:col>3</xdr:col>
                    <xdr:colOff>-952500</xdr:colOff>
                    <xdr:row>3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15" name="CommandButton3">
              <controlPr defaultSize="0" autoFill="0" autoPict="0" altText="Open">
                <anchor moveWithCells="1">
                  <from>
                    <xdr:col>0</xdr:col>
                    <xdr:colOff>38100</xdr:colOff>
                    <xdr:row>2</xdr:row>
                    <xdr:rowOff>0</xdr:rowOff>
                  </from>
                  <to>
                    <xdr:col>1</xdr:col>
                    <xdr:colOff>795338</xdr:colOff>
                    <xdr:row>3</xdr:row>
                    <xdr:rowOff>-147638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16" name="Check Box 197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17" name="Check Box 202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18" name="Check Box 203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19" name="Check Box 205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20" name="Check Box 207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21" name="Check Box 208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22" name="Check Box 210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23" name="Check Box 211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24" name="Check Box 212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25" name="Check Box 213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26" name="Check Box 214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27" name="Check Box 215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28" name="Check Box 216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" r:id="rId29" name="Check Box 217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" r:id="rId30" name="Check Box 218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" r:id="rId31" name="Check Box 219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" r:id="rId32" name="Check Box 220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" r:id="rId33" name="Check Box 221">
              <controlPr defaultSize="0" autoFill="0" autoLine="0" autoPict="0" altText="Check Box 22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" r:id="rId34" name="Check Box 222">
              <controlPr defaultSize="0" autoFill="0" autoLine="0" autoPict="0" altText="Check Box 22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Check Box 204">
              <controlPr defaultSize="0" autoFill="0" autoLine="0" autoPict="0" altText="Check Box 20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Check Box 209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104"/>
  <sheetViews>
    <sheetView showGridLines="0" topLeftCell="A57" zoomScale="90" zoomScaleNormal="90" workbookViewId="0">
      <selection activeCell="G74" sqref="G74"/>
    </sheetView>
  </sheetViews>
  <sheetFormatPr defaultColWidth="9" defaultRowHeight="15" x14ac:dyDescent="0.4"/>
  <cols>
    <col min="1" max="1" width="31.53125" style="77" customWidth="1"/>
    <col min="2" max="2" width="25" style="77" customWidth="1"/>
    <col min="3" max="3" width="10" style="77" customWidth="1"/>
    <col min="4" max="4" width="20.86328125" style="77" customWidth="1"/>
    <col min="5" max="6" width="3.53125" style="77" customWidth="1"/>
    <col min="7" max="7" width="30.53125" style="77" customWidth="1"/>
    <col min="8" max="13" width="9" style="77"/>
    <col min="14" max="14" width="11.86328125" style="77" customWidth="1"/>
    <col min="15" max="16384" width="9" style="77"/>
  </cols>
  <sheetData>
    <row r="1" spans="1:7" x14ac:dyDescent="0.4">
      <c r="A1" s="97"/>
      <c r="B1" s="97"/>
      <c r="C1" s="97"/>
      <c r="D1" s="97"/>
    </row>
    <row r="2" spans="1:7" ht="22.5" x14ac:dyDescent="0.6">
      <c r="A2" s="97"/>
      <c r="B2" s="98" t="s">
        <v>94</v>
      </c>
      <c r="C2" s="97"/>
      <c r="D2" s="97"/>
    </row>
    <row r="3" spans="1:7" x14ac:dyDescent="0.4">
      <c r="A3" s="97" t="s">
        <v>95</v>
      </c>
      <c r="B3" s="99" t="str">
        <f>Manufacturing_Plan!C5</f>
        <v>2900-2024</v>
      </c>
      <c r="C3" s="97"/>
      <c r="D3" s="97"/>
    </row>
    <row r="4" spans="1:7" x14ac:dyDescent="0.4">
      <c r="A4" s="97" t="s">
        <v>26</v>
      </c>
      <c r="B4" s="99">
        <v>1</v>
      </c>
      <c r="C4" s="97" t="s">
        <v>27</v>
      </c>
      <c r="D4" s="97"/>
    </row>
    <row r="5" spans="1:7" x14ac:dyDescent="0.4">
      <c r="A5" s="97" t="s">
        <v>29</v>
      </c>
      <c r="B5" s="99" t="s">
        <v>30</v>
      </c>
      <c r="C5" s="97"/>
      <c r="D5" s="97"/>
    </row>
    <row r="6" spans="1:7" x14ac:dyDescent="0.4">
      <c r="A6" s="97"/>
      <c r="B6" s="97"/>
      <c r="C6" s="97"/>
      <c r="D6" s="97"/>
    </row>
    <row r="7" spans="1:7" x14ac:dyDescent="0.4">
      <c r="A7" s="97"/>
      <c r="B7" s="97"/>
      <c r="C7" s="97"/>
      <c r="D7" s="97"/>
    </row>
    <row r="8" spans="1:7" s="101" customFormat="1" x14ac:dyDescent="0.4">
      <c r="A8" s="100" t="s">
        <v>96</v>
      </c>
      <c r="B8" s="100" t="s">
        <v>97</v>
      </c>
      <c r="C8" s="100" t="s">
        <v>98</v>
      </c>
      <c r="D8" s="100" t="s">
        <v>99</v>
      </c>
      <c r="E8" s="194" t="s">
        <v>100</v>
      </c>
      <c r="F8" s="194"/>
      <c r="G8" s="100" t="s">
        <v>101</v>
      </c>
    </row>
    <row r="9" spans="1:7" ht="15" customHeight="1" x14ac:dyDescent="0.4">
      <c r="A9" s="195" t="s">
        <v>102</v>
      </c>
      <c r="B9" s="196" t="s">
        <v>209</v>
      </c>
      <c r="C9" s="196" t="str">
        <f>D11</f>
        <v>P1</v>
      </c>
      <c r="D9" s="102" t="s">
        <v>103</v>
      </c>
      <c r="E9" s="103"/>
      <c r="F9" s="104"/>
      <c r="G9" s="105" t="s">
        <v>104</v>
      </c>
    </row>
    <row r="10" spans="1:7" x14ac:dyDescent="0.4">
      <c r="A10" s="195"/>
      <c r="B10" s="196"/>
      <c r="C10" s="196"/>
      <c r="D10" s="106" t="s">
        <v>105</v>
      </c>
      <c r="E10" s="107"/>
      <c r="F10" s="108"/>
      <c r="G10" s="83" t="s">
        <v>106</v>
      </c>
    </row>
    <row r="11" spans="1:7" x14ac:dyDescent="0.4">
      <c r="A11" s="195"/>
      <c r="B11" s="196"/>
      <c r="C11" s="196"/>
      <c r="D11" s="109" t="s">
        <v>107</v>
      </c>
      <c r="E11" s="110"/>
      <c r="F11" s="111"/>
      <c r="G11" s="112" t="s">
        <v>108</v>
      </c>
    </row>
    <row r="12" spans="1:7" ht="15" customHeight="1" x14ac:dyDescent="0.4">
      <c r="A12" s="195" t="s">
        <v>102</v>
      </c>
      <c r="B12" s="196" t="s">
        <v>210</v>
      </c>
      <c r="C12" s="196" t="str">
        <f>D14</f>
        <v>P2</v>
      </c>
      <c r="D12" s="102" t="s">
        <v>103</v>
      </c>
      <c r="E12" s="103"/>
      <c r="F12" s="104"/>
      <c r="G12" s="105" t="s">
        <v>104</v>
      </c>
    </row>
    <row r="13" spans="1:7" x14ac:dyDescent="0.4">
      <c r="A13" s="195"/>
      <c r="B13" s="196"/>
      <c r="C13" s="196"/>
      <c r="D13" s="106" t="s">
        <v>105</v>
      </c>
      <c r="E13" s="107"/>
      <c r="F13" s="108"/>
      <c r="G13" s="83" t="s">
        <v>106</v>
      </c>
    </row>
    <row r="14" spans="1:7" x14ac:dyDescent="0.4">
      <c r="A14" s="195"/>
      <c r="B14" s="196"/>
      <c r="C14" s="196"/>
      <c r="D14" s="109" t="s">
        <v>109</v>
      </c>
      <c r="E14" s="110"/>
      <c r="F14" s="111"/>
      <c r="G14" s="112" t="s">
        <v>108</v>
      </c>
    </row>
    <row r="15" spans="1:7" ht="15" customHeight="1" x14ac:dyDescent="0.4">
      <c r="A15" s="195" t="s">
        <v>102</v>
      </c>
      <c r="B15" s="196" t="s">
        <v>211</v>
      </c>
      <c r="C15" s="196" t="str">
        <f>D17</f>
        <v>C1</v>
      </c>
      <c r="D15" s="102" t="s">
        <v>103</v>
      </c>
      <c r="E15" s="103"/>
      <c r="F15" s="104"/>
      <c r="G15" s="105" t="s">
        <v>104</v>
      </c>
    </row>
    <row r="16" spans="1:7" x14ac:dyDescent="0.4">
      <c r="A16" s="195"/>
      <c r="B16" s="196"/>
      <c r="C16" s="196"/>
      <c r="D16" s="106" t="s">
        <v>105</v>
      </c>
      <c r="E16" s="107"/>
      <c r="F16" s="108"/>
      <c r="G16" s="83" t="s">
        <v>106</v>
      </c>
    </row>
    <row r="17" spans="1:7" x14ac:dyDescent="0.4">
      <c r="A17" s="195"/>
      <c r="B17" s="196"/>
      <c r="C17" s="196"/>
      <c r="D17" s="109" t="s">
        <v>110</v>
      </c>
      <c r="E17" s="110"/>
      <c r="F17" s="111"/>
      <c r="G17" s="112" t="s">
        <v>108</v>
      </c>
    </row>
    <row r="18" spans="1:7" ht="15" customHeight="1" x14ac:dyDescent="0.4">
      <c r="A18" s="195" t="s">
        <v>102</v>
      </c>
      <c r="B18" s="196" t="s">
        <v>212</v>
      </c>
      <c r="C18" s="196" t="str">
        <f>D20</f>
        <v>C2</v>
      </c>
      <c r="D18" s="102" t="s">
        <v>103</v>
      </c>
      <c r="E18" s="103"/>
      <c r="F18" s="104"/>
      <c r="G18" s="105" t="s">
        <v>104</v>
      </c>
    </row>
    <row r="19" spans="1:7" x14ac:dyDescent="0.4">
      <c r="A19" s="195"/>
      <c r="B19" s="196"/>
      <c r="C19" s="196"/>
      <c r="D19" s="106" t="s">
        <v>105</v>
      </c>
      <c r="E19" s="107"/>
      <c r="F19" s="108"/>
      <c r="G19" s="83" t="s">
        <v>106</v>
      </c>
    </row>
    <row r="20" spans="1:7" x14ac:dyDescent="0.4">
      <c r="A20" s="195"/>
      <c r="B20" s="196"/>
      <c r="C20" s="196"/>
      <c r="D20" s="109" t="s">
        <v>111</v>
      </c>
      <c r="E20" s="110"/>
      <c r="F20" s="111"/>
      <c r="G20" s="112" t="s">
        <v>108</v>
      </c>
    </row>
    <row r="21" spans="1:7" ht="15" customHeight="1" x14ac:dyDescent="0.4">
      <c r="A21" s="195" t="s">
        <v>102</v>
      </c>
      <c r="B21" s="196" t="s">
        <v>213</v>
      </c>
      <c r="C21" s="196" t="str">
        <f>D23</f>
        <v>C3</v>
      </c>
      <c r="D21" s="102" t="s">
        <v>103</v>
      </c>
      <c r="E21" s="103"/>
      <c r="F21" s="104"/>
      <c r="G21" s="105" t="s">
        <v>104</v>
      </c>
    </row>
    <row r="22" spans="1:7" x14ac:dyDescent="0.4">
      <c r="A22" s="195"/>
      <c r="B22" s="196"/>
      <c r="C22" s="196"/>
      <c r="D22" s="106" t="s">
        <v>105</v>
      </c>
      <c r="E22" s="107"/>
      <c r="F22" s="108"/>
      <c r="G22" s="83" t="s">
        <v>106</v>
      </c>
    </row>
    <row r="23" spans="1:7" x14ac:dyDescent="0.4">
      <c r="A23" s="195"/>
      <c r="B23" s="196"/>
      <c r="C23" s="196"/>
      <c r="D23" s="109" t="s">
        <v>112</v>
      </c>
      <c r="E23" s="110"/>
      <c r="F23" s="111"/>
      <c r="G23" s="112" t="s">
        <v>108</v>
      </c>
    </row>
    <row r="24" spans="1:7" ht="15" customHeight="1" x14ac:dyDescent="0.4">
      <c r="A24" s="195" t="s">
        <v>102</v>
      </c>
      <c r="B24" s="196" t="s">
        <v>214</v>
      </c>
      <c r="C24" s="196" t="str">
        <f>D26</f>
        <v>C4</v>
      </c>
      <c r="D24" s="102" t="s">
        <v>103</v>
      </c>
      <c r="E24" s="103"/>
      <c r="F24" s="104"/>
      <c r="G24" s="105" t="s">
        <v>104</v>
      </c>
    </row>
    <row r="25" spans="1:7" x14ac:dyDescent="0.4">
      <c r="A25" s="195"/>
      <c r="B25" s="196"/>
      <c r="C25" s="196"/>
      <c r="D25" s="106" t="s">
        <v>105</v>
      </c>
      <c r="E25" s="107"/>
      <c r="F25" s="108"/>
      <c r="G25" s="83" t="s">
        <v>106</v>
      </c>
    </row>
    <row r="26" spans="1:7" x14ac:dyDescent="0.4">
      <c r="A26" s="195"/>
      <c r="B26" s="196"/>
      <c r="C26" s="196"/>
      <c r="D26" s="109" t="s">
        <v>113</v>
      </c>
      <c r="E26" s="110"/>
      <c r="F26" s="111"/>
      <c r="G26" s="112" t="s">
        <v>108</v>
      </c>
    </row>
    <row r="27" spans="1:7" ht="15" customHeight="1" x14ac:dyDescent="0.4">
      <c r="A27" s="195" t="s">
        <v>102</v>
      </c>
      <c r="B27" s="196" t="s">
        <v>215</v>
      </c>
      <c r="C27" s="196" t="str">
        <f>D29</f>
        <v>C5</v>
      </c>
      <c r="D27" s="102" t="s">
        <v>103</v>
      </c>
      <c r="E27" s="103"/>
      <c r="F27" s="104"/>
      <c r="G27" s="105" t="s">
        <v>104</v>
      </c>
    </row>
    <row r="28" spans="1:7" x14ac:dyDescent="0.4">
      <c r="A28" s="195"/>
      <c r="B28" s="196"/>
      <c r="C28" s="196"/>
      <c r="D28" s="106" t="s">
        <v>105</v>
      </c>
      <c r="E28" s="107"/>
      <c r="F28" s="108"/>
      <c r="G28" s="83" t="s">
        <v>106</v>
      </c>
    </row>
    <row r="29" spans="1:7" x14ac:dyDescent="0.4">
      <c r="A29" s="195"/>
      <c r="B29" s="196"/>
      <c r="C29" s="196"/>
      <c r="D29" s="109" t="s">
        <v>114</v>
      </c>
      <c r="E29" s="110"/>
      <c r="F29" s="111"/>
      <c r="G29" s="112" t="s">
        <v>108</v>
      </c>
    </row>
    <row r="30" spans="1:7" ht="15" customHeight="1" x14ac:dyDescent="0.4">
      <c r="A30" s="195" t="s">
        <v>102</v>
      </c>
      <c r="B30" s="196" t="s">
        <v>216</v>
      </c>
      <c r="C30" s="196" t="str">
        <f>D32</f>
        <v>C6</v>
      </c>
      <c r="D30" s="102" t="s">
        <v>103</v>
      </c>
      <c r="E30" s="103"/>
      <c r="F30" s="104"/>
      <c r="G30" s="105" t="s">
        <v>104</v>
      </c>
    </row>
    <row r="31" spans="1:7" x14ac:dyDescent="0.4">
      <c r="A31" s="195"/>
      <c r="B31" s="196"/>
      <c r="C31" s="196"/>
      <c r="D31" s="106" t="s">
        <v>105</v>
      </c>
      <c r="E31" s="107"/>
      <c r="F31" s="108"/>
      <c r="G31" s="83" t="s">
        <v>106</v>
      </c>
    </row>
    <row r="32" spans="1:7" ht="15.4" thickBot="1" x14ac:dyDescent="0.45">
      <c r="A32" s="195"/>
      <c r="B32" s="196"/>
      <c r="C32" s="196"/>
      <c r="D32" s="109" t="s">
        <v>115</v>
      </c>
      <c r="E32" s="110"/>
      <c r="F32" s="111"/>
      <c r="G32" s="112" t="s">
        <v>108</v>
      </c>
    </row>
    <row r="33" spans="1:7" ht="15" customHeight="1" thickBot="1" x14ac:dyDescent="0.45">
      <c r="A33" s="195" t="s">
        <v>102</v>
      </c>
      <c r="B33" s="196" t="s">
        <v>217</v>
      </c>
      <c r="C33" s="196" t="str">
        <f>D35</f>
        <v>C7</v>
      </c>
      <c r="D33" s="102" t="s">
        <v>103</v>
      </c>
      <c r="E33" s="103"/>
      <c r="F33" s="104"/>
      <c r="G33" s="105" t="s">
        <v>104</v>
      </c>
    </row>
    <row r="34" spans="1:7" ht="15.4" thickBot="1" x14ac:dyDescent="0.45">
      <c r="A34" s="195"/>
      <c r="B34" s="196"/>
      <c r="C34" s="196"/>
      <c r="D34" s="106" t="s">
        <v>105</v>
      </c>
      <c r="E34" s="107"/>
      <c r="F34" s="108"/>
      <c r="G34" s="83" t="s">
        <v>106</v>
      </c>
    </row>
    <row r="35" spans="1:7" ht="15.4" thickBot="1" x14ac:dyDescent="0.45">
      <c r="A35" s="195"/>
      <c r="B35" s="196"/>
      <c r="C35" s="196"/>
      <c r="D35" s="109" t="s">
        <v>116</v>
      </c>
      <c r="E35" s="110"/>
      <c r="F35" s="111"/>
      <c r="G35" s="112" t="s">
        <v>108</v>
      </c>
    </row>
    <row r="36" spans="1:7" ht="15" customHeight="1" thickBot="1" x14ac:dyDescent="0.45">
      <c r="A36" s="195" t="s">
        <v>102</v>
      </c>
      <c r="B36" s="196" t="s">
        <v>218</v>
      </c>
      <c r="C36" s="196" t="str">
        <f>D38</f>
        <v>C8</v>
      </c>
      <c r="D36" s="102" t="s">
        <v>103</v>
      </c>
      <c r="E36" s="103"/>
      <c r="F36" s="104"/>
      <c r="G36" s="105" t="s">
        <v>104</v>
      </c>
    </row>
    <row r="37" spans="1:7" ht="15.4" thickBot="1" x14ac:dyDescent="0.45">
      <c r="A37" s="195"/>
      <c r="B37" s="196"/>
      <c r="C37" s="196"/>
      <c r="D37" s="106" t="s">
        <v>105</v>
      </c>
      <c r="E37" s="107"/>
      <c r="F37" s="108"/>
      <c r="G37" s="83" t="s">
        <v>106</v>
      </c>
    </row>
    <row r="38" spans="1:7" ht="15.4" thickBot="1" x14ac:dyDescent="0.45">
      <c r="A38" s="195"/>
      <c r="B38" s="196"/>
      <c r="C38" s="196"/>
      <c r="D38" s="109" t="s">
        <v>226</v>
      </c>
      <c r="E38" s="110"/>
      <c r="F38" s="111"/>
      <c r="G38" s="112" t="s">
        <v>108</v>
      </c>
    </row>
    <row r="39" spans="1:7" ht="15" customHeight="1" thickBot="1" x14ac:dyDescent="0.45">
      <c r="A39" s="195" t="s">
        <v>119</v>
      </c>
      <c r="B39" s="196" t="s">
        <v>219</v>
      </c>
      <c r="C39" s="196" t="s">
        <v>120</v>
      </c>
      <c r="D39" s="102" t="s">
        <v>103</v>
      </c>
      <c r="E39" s="103"/>
      <c r="F39" s="104"/>
      <c r="G39" s="105" t="s">
        <v>104</v>
      </c>
    </row>
    <row r="40" spans="1:7" x14ac:dyDescent="0.4">
      <c r="A40" s="195"/>
      <c r="B40" s="196"/>
      <c r="C40" s="196"/>
      <c r="D40" s="106" t="s">
        <v>105</v>
      </c>
      <c r="E40" s="107"/>
      <c r="F40" s="108"/>
      <c r="G40" s="83" t="s">
        <v>118</v>
      </c>
    </row>
    <row r="41" spans="1:7" x14ac:dyDescent="0.4">
      <c r="A41" s="195"/>
      <c r="B41" s="196"/>
      <c r="C41" s="196"/>
      <c r="D41" s="106" t="s">
        <v>121</v>
      </c>
      <c r="E41" s="113"/>
      <c r="F41" s="114"/>
      <c r="G41" s="83" t="s">
        <v>122</v>
      </c>
    </row>
    <row r="42" spans="1:7" x14ac:dyDescent="0.4">
      <c r="A42" s="195"/>
      <c r="B42" s="196"/>
      <c r="C42" s="196"/>
      <c r="D42" s="106" t="s">
        <v>123</v>
      </c>
      <c r="E42" s="115"/>
      <c r="F42" s="116"/>
      <c r="G42" s="112" t="s">
        <v>124</v>
      </c>
    </row>
    <row r="43" spans="1:7" ht="15" customHeight="1" x14ac:dyDescent="0.4">
      <c r="A43" s="195" t="s">
        <v>119</v>
      </c>
      <c r="B43" s="196" t="s">
        <v>220</v>
      </c>
      <c r="C43" s="196" t="s">
        <v>125</v>
      </c>
      <c r="D43" s="102" t="s">
        <v>103</v>
      </c>
      <c r="E43" s="103"/>
      <c r="F43" s="104"/>
      <c r="G43" s="105" t="s">
        <v>104</v>
      </c>
    </row>
    <row r="44" spans="1:7" x14ac:dyDescent="0.4">
      <c r="A44" s="195"/>
      <c r="B44" s="196"/>
      <c r="C44" s="196"/>
      <c r="D44" s="106" t="s">
        <v>105</v>
      </c>
      <c r="E44" s="107"/>
      <c r="F44" s="108"/>
      <c r="G44" s="83" t="s">
        <v>118</v>
      </c>
    </row>
    <row r="45" spans="1:7" x14ac:dyDescent="0.4">
      <c r="A45" s="195"/>
      <c r="B45" s="196"/>
      <c r="C45" s="196"/>
      <c r="D45" s="106" t="s">
        <v>126</v>
      </c>
      <c r="E45" s="113"/>
      <c r="F45" s="114"/>
      <c r="G45" s="83" t="s">
        <v>122</v>
      </c>
    </row>
    <row r="46" spans="1:7" x14ac:dyDescent="0.4">
      <c r="A46" s="195"/>
      <c r="B46" s="196"/>
      <c r="C46" s="196"/>
      <c r="D46" s="106" t="s">
        <v>127</v>
      </c>
      <c r="E46" s="115"/>
      <c r="F46" s="116"/>
      <c r="G46" s="112" t="s">
        <v>124</v>
      </c>
    </row>
    <row r="47" spans="1:7" ht="15" customHeight="1" x14ac:dyDescent="0.4">
      <c r="A47" s="195" t="s">
        <v>119</v>
      </c>
      <c r="B47" s="196" t="s">
        <v>221</v>
      </c>
      <c r="C47" s="196" t="s">
        <v>128</v>
      </c>
      <c r="D47" s="102" t="s">
        <v>103</v>
      </c>
      <c r="E47" s="103"/>
      <c r="F47" s="104"/>
      <c r="G47" s="105" t="s">
        <v>104</v>
      </c>
    </row>
    <row r="48" spans="1:7" x14ac:dyDescent="0.4">
      <c r="A48" s="195"/>
      <c r="B48" s="196"/>
      <c r="C48" s="196"/>
      <c r="D48" s="106" t="s">
        <v>105</v>
      </c>
      <c r="E48" s="107"/>
      <c r="F48" s="108"/>
      <c r="G48" s="83" t="s">
        <v>118</v>
      </c>
    </row>
    <row r="49" spans="1:7" x14ac:dyDescent="0.4">
      <c r="A49" s="195"/>
      <c r="B49" s="196"/>
      <c r="C49" s="196"/>
      <c r="D49" s="106" t="s">
        <v>129</v>
      </c>
      <c r="E49" s="113"/>
      <c r="F49" s="114"/>
      <c r="G49" s="83" t="s">
        <v>122</v>
      </c>
    </row>
    <row r="50" spans="1:7" x14ac:dyDescent="0.4">
      <c r="A50" s="195"/>
      <c r="B50" s="196"/>
      <c r="C50" s="196"/>
      <c r="D50" s="106" t="s">
        <v>130</v>
      </c>
      <c r="E50" s="115"/>
      <c r="F50" s="116"/>
      <c r="G50" s="112" t="s">
        <v>124</v>
      </c>
    </row>
    <row r="51" spans="1:7" ht="15" customHeight="1" x14ac:dyDescent="0.4">
      <c r="A51" s="195" t="s">
        <v>131</v>
      </c>
      <c r="B51" s="196" t="s">
        <v>222</v>
      </c>
      <c r="C51" s="197" t="s">
        <v>132</v>
      </c>
      <c r="D51" s="102" t="s">
        <v>103</v>
      </c>
      <c r="E51" s="103"/>
      <c r="F51" s="104"/>
      <c r="G51" s="105" t="s">
        <v>104</v>
      </c>
    </row>
    <row r="52" spans="1:7" x14ac:dyDescent="0.4">
      <c r="A52" s="195"/>
      <c r="B52" s="196"/>
      <c r="C52" s="197"/>
      <c r="D52" s="106" t="s">
        <v>105</v>
      </c>
      <c r="E52" s="107"/>
      <c r="F52" s="108"/>
      <c r="G52" s="83" t="s">
        <v>118</v>
      </c>
    </row>
    <row r="53" spans="1:7" x14ac:dyDescent="0.4">
      <c r="A53" s="195"/>
      <c r="B53" s="196"/>
      <c r="C53" s="197"/>
      <c r="D53" s="106" t="s">
        <v>133</v>
      </c>
      <c r="E53" s="113"/>
      <c r="F53" s="114"/>
      <c r="G53" s="83" t="s">
        <v>134</v>
      </c>
    </row>
    <row r="54" spans="1:7" x14ac:dyDescent="0.4">
      <c r="A54" s="195"/>
      <c r="B54" s="196"/>
      <c r="C54" s="197"/>
      <c r="D54" s="106" t="s">
        <v>135</v>
      </c>
      <c r="E54" s="117"/>
      <c r="F54" s="118"/>
      <c r="G54" s="83" t="s">
        <v>136</v>
      </c>
    </row>
    <row r="55" spans="1:7" x14ac:dyDescent="0.4">
      <c r="A55" s="195"/>
      <c r="B55" s="196"/>
      <c r="C55" s="197"/>
      <c r="D55" s="106" t="s">
        <v>137</v>
      </c>
      <c r="E55" s="119"/>
      <c r="F55" s="120"/>
      <c r="G55" s="83" t="s">
        <v>138</v>
      </c>
    </row>
    <row r="56" spans="1:7" x14ac:dyDescent="0.4">
      <c r="A56" s="195"/>
      <c r="B56" s="196"/>
      <c r="C56" s="197"/>
      <c r="D56" s="109" t="s">
        <v>139</v>
      </c>
      <c r="E56" s="121"/>
      <c r="F56" s="122"/>
      <c r="G56" s="112" t="s">
        <v>140</v>
      </c>
    </row>
    <row r="57" spans="1:7" ht="15" customHeight="1" x14ac:dyDescent="0.4">
      <c r="A57" s="195" t="s">
        <v>131</v>
      </c>
      <c r="B57" s="196" t="s">
        <v>223</v>
      </c>
      <c r="C57" s="197" t="s">
        <v>141</v>
      </c>
      <c r="D57" s="102" t="s">
        <v>103</v>
      </c>
      <c r="E57" s="103"/>
      <c r="F57" s="104"/>
      <c r="G57" s="105" t="s">
        <v>104</v>
      </c>
    </row>
    <row r="58" spans="1:7" x14ac:dyDescent="0.4">
      <c r="A58" s="195"/>
      <c r="B58" s="196"/>
      <c r="C58" s="197"/>
      <c r="D58" s="106" t="s">
        <v>105</v>
      </c>
      <c r="E58" s="107"/>
      <c r="F58" s="108"/>
      <c r="G58" s="83" t="s">
        <v>118</v>
      </c>
    </row>
    <row r="59" spans="1:7" x14ac:dyDescent="0.4">
      <c r="A59" s="195"/>
      <c r="B59" s="196"/>
      <c r="C59" s="197"/>
      <c r="D59" s="106" t="s">
        <v>142</v>
      </c>
      <c r="E59" s="113"/>
      <c r="F59" s="114"/>
      <c r="G59" s="83" t="s">
        <v>134</v>
      </c>
    </row>
    <row r="60" spans="1:7" x14ac:dyDescent="0.4">
      <c r="A60" s="195"/>
      <c r="B60" s="196"/>
      <c r="C60" s="197"/>
      <c r="D60" s="106" t="s">
        <v>143</v>
      </c>
      <c r="E60" s="117"/>
      <c r="F60" s="118"/>
      <c r="G60" s="83" t="s">
        <v>136</v>
      </c>
    </row>
    <row r="61" spans="1:7" x14ac:dyDescent="0.4">
      <c r="A61" s="195"/>
      <c r="B61" s="196"/>
      <c r="C61" s="197"/>
      <c r="D61" s="106" t="s">
        <v>144</v>
      </c>
      <c r="E61" s="119"/>
      <c r="F61" s="120"/>
      <c r="G61" s="83" t="s">
        <v>138</v>
      </c>
    </row>
    <row r="62" spans="1:7" x14ac:dyDescent="0.4">
      <c r="A62" s="195"/>
      <c r="B62" s="196"/>
      <c r="C62" s="197"/>
      <c r="D62" s="109" t="s">
        <v>145</v>
      </c>
      <c r="E62" s="121"/>
      <c r="F62" s="122"/>
      <c r="G62" s="112" t="s">
        <v>140</v>
      </c>
    </row>
    <row r="63" spans="1:7" ht="15" customHeight="1" x14ac:dyDescent="0.4">
      <c r="A63" s="195" t="s">
        <v>146</v>
      </c>
      <c r="B63" s="196" t="s">
        <v>224</v>
      </c>
      <c r="C63" s="196" t="s">
        <v>147</v>
      </c>
      <c r="D63" s="102" t="s">
        <v>103</v>
      </c>
      <c r="E63" s="103"/>
      <c r="F63" s="104"/>
      <c r="G63" s="105" t="s">
        <v>104</v>
      </c>
    </row>
    <row r="64" spans="1:7" x14ac:dyDescent="0.4">
      <c r="A64" s="195"/>
      <c r="B64" s="196"/>
      <c r="C64" s="196"/>
      <c r="D64" s="106" t="s">
        <v>105</v>
      </c>
      <c r="E64" s="107"/>
      <c r="F64" s="108"/>
      <c r="G64" s="83" t="s">
        <v>118</v>
      </c>
    </row>
    <row r="65" spans="1:7" x14ac:dyDescent="0.4">
      <c r="A65" s="195"/>
      <c r="B65" s="196"/>
      <c r="C65" s="196"/>
      <c r="D65" s="106" t="s">
        <v>147</v>
      </c>
      <c r="E65" s="113"/>
      <c r="F65" s="114"/>
      <c r="G65" s="83" t="s">
        <v>122</v>
      </c>
    </row>
    <row r="66" spans="1:7" x14ac:dyDescent="0.4">
      <c r="A66" s="195"/>
      <c r="B66" s="196"/>
      <c r="C66" s="196"/>
      <c r="D66" s="106"/>
      <c r="E66" s="115"/>
      <c r="F66" s="116"/>
      <c r="G66" s="112" t="s">
        <v>124</v>
      </c>
    </row>
    <row r="67" spans="1:7" ht="15" customHeight="1" x14ac:dyDescent="0.4">
      <c r="A67" s="195" t="s">
        <v>146</v>
      </c>
      <c r="B67" s="196" t="s">
        <v>225</v>
      </c>
      <c r="C67" s="196" t="s">
        <v>148</v>
      </c>
      <c r="D67" s="102" t="s">
        <v>103</v>
      </c>
      <c r="E67" s="103"/>
      <c r="F67" s="104"/>
      <c r="G67" s="105" t="s">
        <v>104</v>
      </c>
    </row>
    <row r="68" spans="1:7" x14ac:dyDescent="0.4">
      <c r="A68" s="195"/>
      <c r="B68" s="196"/>
      <c r="C68" s="196"/>
      <c r="D68" s="106" t="s">
        <v>105</v>
      </c>
      <c r="E68" s="107"/>
      <c r="F68" s="108"/>
      <c r="G68" s="83" t="s">
        <v>118</v>
      </c>
    </row>
    <row r="69" spans="1:7" x14ac:dyDescent="0.4">
      <c r="A69" s="195"/>
      <c r="B69" s="196"/>
      <c r="C69" s="196"/>
      <c r="D69" s="106" t="s">
        <v>148</v>
      </c>
      <c r="E69" s="113"/>
      <c r="F69" s="114"/>
      <c r="G69" s="83" t="s">
        <v>122</v>
      </c>
    </row>
    <row r="70" spans="1:7" x14ac:dyDescent="0.4">
      <c r="A70" s="195"/>
      <c r="B70" s="196"/>
      <c r="C70" s="196"/>
      <c r="D70" s="106"/>
      <c r="E70" s="115"/>
      <c r="F70" s="116"/>
      <c r="G70" s="112" t="s">
        <v>124</v>
      </c>
    </row>
    <row r="71" spans="1:7" ht="15" customHeight="1" x14ac:dyDescent="0.4">
      <c r="A71" s="198" t="s">
        <v>206</v>
      </c>
      <c r="B71" s="199" t="s">
        <v>149</v>
      </c>
      <c r="C71" s="200" t="s">
        <v>150</v>
      </c>
      <c r="D71" s="102" t="s">
        <v>151</v>
      </c>
      <c r="E71" s="201" t="s">
        <v>152</v>
      </c>
      <c r="F71" s="201"/>
      <c r="G71" s="105" t="s">
        <v>150</v>
      </c>
    </row>
    <row r="72" spans="1:7" x14ac:dyDescent="0.4">
      <c r="A72" s="198"/>
      <c r="B72" s="199"/>
      <c r="C72" s="200"/>
      <c r="D72" s="106" t="s">
        <v>153</v>
      </c>
      <c r="E72" s="202" t="s">
        <v>152</v>
      </c>
      <c r="F72" s="202"/>
      <c r="G72" s="83" t="s">
        <v>117</v>
      </c>
    </row>
    <row r="73" spans="1:7" x14ac:dyDescent="0.4">
      <c r="A73" s="198"/>
      <c r="B73" s="199"/>
      <c r="C73" s="200"/>
      <c r="D73" s="106">
        <v>14</v>
      </c>
      <c r="E73" s="202" t="s">
        <v>152</v>
      </c>
      <c r="F73" s="202"/>
      <c r="G73" s="83" t="s">
        <v>154</v>
      </c>
    </row>
    <row r="74" spans="1:7" x14ac:dyDescent="0.4">
      <c r="A74" s="198"/>
      <c r="B74" s="199"/>
      <c r="C74" s="200"/>
      <c r="D74" s="106">
        <v>13</v>
      </c>
      <c r="E74" s="202" t="s">
        <v>152</v>
      </c>
      <c r="F74" s="202"/>
      <c r="G74" s="83" t="s">
        <v>155</v>
      </c>
    </row>
    <row r="75" spans="1:7" x14ac:dyDescent="0.4">
      <c r="A75" s="198"/>
      <c r="B75" s="199"/>
      <c r="C75" s="200"/>
      <c r="D75" s="106" t="s">
        <v>105</v>
      </c>
      <c r="E75" s="202" t="s">
        <v>152</v>
      </c>
      <c r="F75" s="202"/>
      <c r="G75" s="83" t="s">
        <v>156</v>
      </c>
    </row>
    <row r="76" spans="1:7" ht="15" customHeight="1" x14ac:dyDescent="0.4">
      <c r="A76" s="198"/>
      <c r="B76" s="187" t="s">
        <v>157</v>
      </c>
      <c r="C76" s="203" t="s">
        <v>56</v>
      </c>
      <c r="D76" s="123" t="s">
        <v>158</v>
      </c>
      <c r="E76" s="124"/>
      <c r="F76" s="125"/>
      <c r="G76" s="126" t="s">
        <v>159</v>
      </c>
    </row>
    <row r="77" spans="1:7" x14ac:dyDescent="0.4">
      <c r="A77" s="198"/>
      <c r="B77" s="187"/>
      <c r="C77" s="203"/>
      <c r="D77" s="123" t="s">
        <v>160</v>
      </c>
      <c r="E77" s="127"/>
      <c r="F77" s="127"/>
      <c r="G77" s="126" t="s">
        <v>118</v>
      </c>
    </row>
    <row r="78" spans="1:7" x14ac:dyDescent="0.4">
      <c r="A78" s="198"/>
      <c r="B78" s="96" t="s">
        <v>161</v>
      </c>
      <c r="C78" s="109" t="s">
        <v>56</v>
      </c>
      <c r="D78" s="109" t="s">
        <v>162</v>
      </c>
      <c r="E78" s="204" t="s">
        <v>152</v>
      </c>
      <c r="F78" s="204"/>
      <c r="G78" s="112" t="s">
        <v>163</v>
      </c>
    </row>
    <row r="79" spans="1:7" ht="15.75" customHeight="1" x14ac:dyDescent="0.4">
      <c r="A79" s="205" t="s">
        <v>164</v>
      </c>
      <c r="B79" s="206" t="s">
        <v>56</v>
      </c>
      <c r="C79" s="206" t="s">
        <v>56</v>
      </c>
      <c r="D79" s="123" t="s">
        <v>165</v>
      </c>
      <c r="E79" s="129"/>
      <c r="F79" s="130"/>
      <c r="G79" s="126" t="s">
        <v>104</v>
      </c>
    </row>
    <row r="80" spans="1:7" x14ac:dyDescent="0.4">
      <c r="A80" s="205"/>
      <c r="B80" s="206"/>
      <c r="C80" s="206"/>
      <c r="D80" s="128" t="s">
        <v>166</v>
      </c>
      <c r="E80" s="131"/>
      <c r="F80" s="132"/>
      <c r="G80" s="133" t="s">
        <v>118</v>
      </c>
    </row>
    <row r="81" spans="1:7" ht="15.75" customHeight="1" x14ac:dyDescent="0.4">
      <c r="A81" s="195" t="s">
        <v>167</v>
      </c>
      <c r="B81" s="197" t="s">
        <v>56</v>
      </c>
      <c r="C81" s="197" t="s">
        <v>56</v>
      </c>
      <c r="D81" s="134" t="s">
        <v>168</v>
      </c>
      <c r="E81" s="135"/>
      <c r="F81" s="136"/>
      <c r="G81" s="137" t="s">
        <v>104</v>
      </c>
    </row>
    <row r="82" spans="1:7" ht="15" customHeight="1" x14ac:dyDescent="0.4">
      <c r="A82" s="195"/>
      <c r="B82" s="197"/>
      <c r="C82" s="197"/>
      <c r="D82" s="128" t="s">
        <v>169</v>
      </c>
      <c r="E82" s="138"/>
      <c r="F82" s="139"/>
      <c r="G82" s="133" t="s">
        <v>118</v>
      </c>
    </row>
    <row r="83" spans="1:7" ht="15" customHeight="1" x14ac:dyDescent="0.4"/>
    <row r="84" spans="1:7" x14ac:dyDescent="0.4">
      <c r="E84" s="140" t="s">
        <v>170</v>
      </c>
      <c r="F84" s="207" t="s">
        <v>207</v>
      </c>
      <c r="G84" s="207"/>
    </row>
    <row r="85" spans="1:7" x14ac:dyDescent="0.4">
      <c r="E85" s="140" t="s">
        <v>171</v>
      </c>
      <c r="F85" s="207" t="s">
        <v>15</v>
      </c>
      <c r="G85" s="207"/>
    </row>
    <row r="86" spans="1:7" ht="15" customHeight="1" x14ac:dyDescent="0.4">
      <c r="D86" s="208" t="s">
        <v>172</v>
      </c>
      <c r="E86" s="208"/>
      <c r="F86" s="209" t="s">
        <v>208</v>
      </c>
      <c r="G86" s="209"/>
    </row>
    <row r="89" spans="1:7" x14ac:dyDescent="0.4">
      <c r="B89" s="141" t="s">
        <v>173</v>
      </c>
    </row>
    <row r="90" spans="1:7" x14ac:dyDescent="0.4">
      <c r="B90" s="142" t="s">
        <v>174</v>
      </c>
    </row>
    <row r="91" spans="1:7" x14ac:dyDescent="0.4">
      <c r="B91" s="143"/>
    </row>
    <row r="92" spans="1:7" x14ac:dyDescent="0.4">
      <c r="B92" s="144" t="s">
        <v>175</v>
      </c>
    </row>
    <row r="93" spans="1:7" x14ac:dyDescent="0.4">
      <c r="B93" s="142" t="s">
        <v>176</v>
      </c>
    </row>
    <row r="94" spans="1:7" ht="15" customHeight="1" x14ac:dyDescent="0.4"/>
    <row r="103" ht="15" customHeight="1" x14ac:dyDescent="0.4"/>
    <row r="104" ht="15" customHeight="1" x14ac:dyDescent="0.4"/>
  </sheetData>
  <mergeCells count="73">
    <mergeCell ref="F84:G84"/>
    <mergeCell ref="F85:G85"/>
    <mergeCell ref="D86:E86"/>
    <mergeCell ref="F86:G86"/>
    <mergeCell ref="A33:A35"/>
    <mergeCell ref="B33:B35"/>
    <mergeCell ref="C33:C35"/>
    <mergeCell ref="A36:A38"/>
    <mergeCell ref="B36:B38"/>
    <mergeCell ref="C36:C38"/>
    <mergeCell ref="A79:A80"/>
    <mergeCell ref="B79:B80"/>
    <mergeCell ref="C79:C80"/>
    <mergeCell ref="A81:A82"/>
    <mergeCell ref="B81:B82"/>
    <mergeCell ref="C81:C82"/>
    <mergeCell ref="A71:A78"/>
    <mergeCell ref="B71:B75"/>
    <mergeCell ref="C71:C75"/>
    <mergeCell ref="E71:F71"/>
    <mergeCell ref="E72:F72"/>
    <mergeCell ref="E73:F73"/>
    <mergeCell ref="E74:F74"/>
    <mergeCell ref="E75:F75"/>
    <mergeCell ref="B76:B77"/>
    <mergeCell ref="C76:C77"/>
    <mergeCell ref="E78:F78"/>
    <mergeCell ref="A63:A66"/>
    <mergeCell ref="B63:B66"/>
    <mergeCell ref="C63:C66"/>
    <mergeCell ref="A67:A70"/>
    <mergeCell ref="B67:B70"/>
    <mergeCell ref="C67:C70"/>
    <mergeCell ref="A51:A56"/>
    <mergeCell ref="B51:B56"/>
    <mergeCell ref="C51:C56"/>
    <mergeCell ref="A57:A62"/>
    <mergeCell ref="B57:B62"/>
    <mergeCell ref="C57:C62"/>
    <mergeCell ref="A43:A46"/>
    <mergeCell ref="B43:B46"/>
    <mergeCell ref="C43:C46"/>
    <mergeCell ref="A47:A50"/>
    <mergeCell ref="B47:B50"/>
    <mergeCell ref="C47:C50"/>
    <mergeCell ref="A39:A42"/>
    <mergeCell ref="B39:B42"/>
    <mergeCell ref="C39:C42"/>
    <mergeCell ref="A27:A29"/>
    <mergeCell ref="B27:B29"/>
    <mergeCell ref="C27:C29"/>
    <mergeCell ref="A30:A32"/>
    <mergeCell ref="B30:B32"/>
    <mergeCell ref="C30:C32"/>
    <mergeCell ref="A21:A23"/>
    <mergeCell ref="B21:B23"/>
    <mergeCell ref="C21:C23"/>
    <mergeCell ref="A24:A26"/>
    <mergeCell ref="B24:B26"/>
    <mergeCell ref="C24:C26"/>
    <mergeCell ref="A15:A17"/>
    <mergeCell ref="B15:B17"/>
    <mergeCell ref="C15:C17"/>
    <mergeCell ref="A18:A20"/>
    <mergeCell ref="B18:B20"/>
    <mergeCell ref="C18:C20"/>
    <mergeCell ref="E8:F8"/>
    <mergeCell ref="A9:A11"/>
    <mergeCell ref="B9:B11"/>
    <mergeCell ref="C9:C11"/>
    <mergeCell ref="A12:A14"/>
    <mergeCell ref="B12:B14"/>
    <mergeCell ref="C12:C14"/>
  </mergeCells>
  <hyperlinks>
    <hyperlink ref="B90" r:id="rId1" xr:uid="{00000000-0004-0000-0100-000000000000}"/>
    <hyperlink ref="B93" r:id="rId2" xr:uid="{00000000-0004-0000-0100-000001000000}"/>
  </hyperlinks>
  <printOptions horizontalCentered="1"/>
  <pageMargins left="0.7" right="0.7" top="0.75" bottom="0.75" header="0.511811023622047" footer="0.511811023622047"/>
  <pageSetup paperSize="9" scale="50" orientation="portrait" horizontalDpi="300" verticalDpi="300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N77"/>
  <sheetViews>
    <sheetView topLeftCell="A43" zoomScale="55" zoomScaleNormal="55" workbookViewId="0">
      <selection activeCell="A56" sqref="A56:N63"/>
    </sheetView>
  </sheetViews>
  <sheetFormatPr defaultColWidth="9" defaultRowHeight="17.25" x14ac:dyDescent="0.45"/>
  <cols>
    <col min="1" max="1" width="5.53125" style="145" customWidth="1"/>
    <col min="2" max="2" width="27.53125" style="145" customWidth="1"/>
    <col min="3" max="3" width="20.3984375" style="145" customWidth="1"/>
    <col min="4" max="4" width="17.73046875" style="145" customWidth="1"/>
    <col min="5" max="6" width="3.53125" style="145" customWidth="1"/>
    <col min="7" max="7" width="20.53125" style="145" customWidth="1"/>
    <col min="8" max="8" width="10.265625" style="145" customWidth="1"/>
    <col min="9" max="9" width="22.53125" style="145" customWidth="1"/>
    <col min="10" max="10" width="22.265625" style="145" customWidth="1"/>
    <col min="11" max="11" width="19.53125" style="145" customWidth="1"/>
    <col min="12" max="12" width="14" style="145" customWidth="1"/>
    <col min="13" max="13" width="12.86328125" style="145" customWidth="1"/>
    <col min="14" max="14" width="12.53125" style="145" customWidth="1"/>
    <col min="15" max="16384" width="9" style="145"/>
  </cols>
  <sheetData>
    <row r="1" spans="1:14" ht="40.5" customHeight="1" x14ac:dyDescent="0.45">
      <c r="A1" s="146" t="s">
        <v>177</v>
      </c>
      <c r="B1" s="147" t="s">
        <v>178</v>
      </c>
      <c r="C1" s="147" t="s">
        <v>179</v>
      </c>
      <c r="D1" s="147" t="s">
        <v>180</v>
      </c>
      <c r="E1" s="210" t="s">
        <v>100</v>
      </c>
      <c r="F1" s="210"/>
      <c r="G1" s="147" t="s">
        <v>101</v>
      </c>
      <c r="H1" s="147" t="s">
        <v>181</v>
      </c>
      <c r="I1" s="147" t="s">
        <v>182</v>
      </c>
      <c r="J1" s="147" t="s">
        <v>183</v>
      </c>
      <c r="K1" s="147" t="s">
        <v>184</v>
      </c>
      <c r="L1" s="147" t="s">
        <v>185</v>
      </c>
      <c r="M1" s="148" t="s">
        <v>186</v>
      </c>
      <c r="N1" s="149" t="s">
        <v>44</v>
      </c>
    </row>
    <row r="2" spans="1:14" ht="27.75" customHeight="1" x14ac:dyDescent="0.45">
      <c r="A2" s="211"/>
      <c r="B2" s="212" t="str">
        <f>Connection_Plan!B9</f>
        <v>2900-1-AUS-V1-160m</v>
      </c>
      <c r="C2" s="212" t="s">
        <v>48</v>
      </c>
      <c r="D2" s="150" t="s">
        <v>187</v>
      </c>
      <c r="E2" s="151"/>
      <c r="F2" s="151"/>
      <c r="G2" s="150" t="s">
        <v>104</v>
      </c>
      <c r="H2" s="150">
        <v>3</v>
      </c>
      <c r="I2" s="212" t="s">
        <v>188</v>
      </c>
      <c r="J2" s="213"/>
      <c r="K2" s="212" t="s">
        <v>189</v>
      </c>
      <c r="L2" s="212"/>
      <c r="M2" s="212"/>
      <c r="N2" s="214"/>
    </row>
    <row r="3" spans="1:14" ht="27.75" customHeight="1" x14ac:dyDescent="0.45">
      <c r="A3" s="211"/>
      <c r="B3" s="212"/>
      <c r="C3" s="212"/>
      <c r="D3" s="152" t="s">
        <v>190</v>
      </c>
      <c r="E3" s="153"/>
      <c r="F3" s="153"/>
      <c r="G3" s="152" t="s">
        <v>106</v>
      </c>
      <c r="H3" s="152">
        <v>2</v>
      </c>
      <c r="I3" s="212"/>
      <c r="J3" s="213"/>
      <c r="K3" s="212"/>
      <c r="L3" s="212"/>
      <c r="M3" s="212"/>
      <c r="N3" s="214"/>
    </row>
    <row r="4" spans="1:14" ht="27.75" customHeight="1" x14ac:dyDescent="0.45">
      <c r="A4" s="211"/>
      <c r="B4" s="212"/>
      <c r="C4" s="212"/>
      <c r="D4" s="154" t="s">
        <v>191</v>
      </c>
      <c r="E4" s="155"/>
      <c r="F4" s="155"/>
      <c r="G4" s="154" t="s">
        <v>108</v>
      </c>
      <c r="H4" s="154">
        <v>1</v>
      </c>
      <c r="I4" s="212"/>
      <c r="J4" s="213"/>
      <c r="K4" s="212"/>
      <c r="L4" s="212"/>
      <c r="M4" s="212"/>
      <c r="N4" s="214"/>
    </row>
    <row r="5" spans="1:14" ht="27.75" customHeight="1" x14ac:dyDescent="0.45">
      <c r="A5" s="211"/>
      <c r="B5" s="212" t="str">
        <f>Connection_Plan!B12</f>
        <v>2900-1-AUS-V2-160m</v>
      </c>
      <c r="C5" s="212" t="s">
        <v>48</v>
      </c>
      <c r="D5" s="150" t="s">
        <v>187</v>
      </c>
      <c r="E5" s="151"/>
      <c r="F5" s="151"/>
      <c r="G5" s="150" t="s">
        <v>104</v>
      </c>
      <c r="H5" s="150">
        <v>3</v>
      </c>
      <c r="I5" s="212" t="s">
        <v>188</v>
      </c>
      <c r="J5" s="213"/>
      <c r="K5" s="212" t="s">
        <v>189</v>
      </c>
      <c r="L5" s="212"/>
      <c r="M5" s="212"/>
      <c r="N5" s="214"/>
    </row>
    <row r="6" spans="1:14" ht="27.75" customHeight="1" x14ac:dyDescent="0.45">
      <c r="A6" s="211"/>
      <c r="B6" s="212"/>
      <c r="C6" s="212"/>
      <c r="D6" s="152" t="s">
        <v>190</v>
      </c>
      <c r="E6" s="153"/>
      <c r="F6" s="153"/>
      <c r="G6" s="152" t="s">
        <v>106</v>
      </c>
      <c r="H6" s="152">
        <v>2</v>
      </c>
      <c r="I6" s="212"/>
      <c r="J6" s="213"/>
      <c r="K6" s="212"/>
      <c r="L6" s="212"/>
      <c r="M6" s="212"/>
      <c r="N6" s="214"/>
    </row>
    <row r="7" spans="1:14" ht="27.75" customHeight="1" x14ac:dyDescent="0.45">
      <c r="A7" s="211"/>
      <c r="B7" s="212"/>
      <c r="C7" s="212"/>
      <c r="D7" s="154" t="s">
        <v>191</v>
      </c>
      <c r="E7" s="155"/>
      <c r="F7" s="155"/>
      <c r="G7" s="154" t="s">
        <v>108</v>
      </c>
      <c r="H7" s="154">
        <v>1</v>
      </c>
      <c r="I7" s="212"/>
      <c r="J7" s="213"/>
      <c r="K7" s="212"/>
      <c r="L7" s="212"/>
      <c r="M7" s="212"/>
      <c r="N7" s="214"/>
    </row>
    <row r="8" spans="1:14" ht="27.75" customHeight="1" x14ac:dyDescent="0.45">
      <c r="A8" s="211"/>
      <c r="B8" s="212" t="str">
        <f>Connection_Plan!B15</f>
        <v>2900-1-AUS-V3-130m</v>
      </c>
      <c r="C8" s="212" t="s">
        <v>48</v>
      </c>
      <c r="D8" s="150" t="s">
        <v>187</v>
      </c>
      <c r="E8" s="151"/>
      <c r="F8" s="151"/>
      <c r="G8" s="150" t="s">
        <v>104</v>
      </c>
      <c r="H8" s="150">
        <v>3</v>
      </c>
      <c r="I8" s="212" t="s">
        <v>188</v>
      </c>
      <c r="J8" s="213"/>
      <c r="K8" s="212" t="s">
        <v>189</v>
      </c>
      <c r="L8" s="212"/>
      <c r="M8" s="212"/>
      <c r="N8" s="214"/>
    </row>
    <row r="9" spans="1:14" ht="27.75" customHeight="1" x14ac:dyDescent="0.45">
      <c r="A9" s="211"/>
      <c r="B9" s="212"/>
      <c r="C9" s="212"/>
      <c r="D9" s="152" t="s">
        <v>190</v>
      </c>
      <c r="E9" s="153"/>
      <c r="F9" s="153"/>
      <c r="G9" s="152" t="s">
        <v>106</v>
      </c>
      <c r="H9" s="152">
        <v>2</v>
      </c>
      <c r="I9" s="212"/>
      <c r="J9" s="213"/>
      <c r="K9" s="212"/>
      <c r="L9" s="212"/>
      <c r="M9" s="212"/>
      <c r="N9" s="214"/>
    </row>
    <row r="10" spans="1:14" ht="27.75" customHeight="1" x14ac:dyDescent="0.45">
      <c r="A10" s="211"/>
      <c r="B10" s="212"/>
      <c r="C10" s="212"/>
      <c r="D10" s="154" t="s">
        <v>191</v>
      </c>
      <c r="E10" s="155"/>
      <c r="F10" s="155"/>
      <c r="G10" s="154" t="s">
        <v>108</v>
      </c>
      <c r="H10" s="154">
        <v>1</v>
      </c>
      <c r="I10" s="212"/>
      <c r="J10" s="213"/>
      <c r="K10" s="212"/>
      <c r="L10" s="212"/>
      <c r="M10" s="212"/>
      <c r="N10" s="214"/>
    </row>
    <row r="11" spans="1:14" ht="27.75" customHeight="1" x14ac:dyDescent="0.45">
      <c r="A11" s="211"/>
      <c r="B11" s="212" t="str">
        <f>Connection_Plan!B18</f>
        <v>2900-1-AUS-V4-130m</v>
      </c>
      <c r="C11" s="212" t="s">
        <v>48</v>
      </c>
      <c r="D11" s="150" t="s">
        <v>187</v>
      </c>
      <c r="E11" s="151"/>
      <c r="F11" s="151"/>
      <c r="G11" s="150" t="s">
        <v>104</v>
      </c>
      <c r="H11" s="150">
        <v>3</v>
      </c>
      <c r="I11" s="212" t="s">
        <v>188</v>
      </c>
      <c r="J11" s="213"/>
      <c r="K11" s="212" t="s">
        <v>189</v>
      </c>
      <c r="L11" s="212"/>
      <c r="M11" s="212"/>
      <c r="N11" s="214"/>
    </row>
    <row r="12" spans="1:14" ht="27.75" customHeight="1" x14ac:dyDescent="0.45">
      <c r="A12" s="211"/>
      <c r="B12" s="212"/>
      <c r="C12" s="212"/>
      <c r="D12" s="152" t="s">
        <v>190</v>
      </c>
      <c r="E12" s="153"/>
      <c r="F12" s="153"/>
      <c r="G12" s="152" t="s">
        <v>106</v>
      </c>
      <c r="H12" s="152">
        <v>2</v>
      </c>
      <c r="I12" s="212"/>
      <c r="J12" s="213"/>
      <c r="K12" s="212"/>
      <c r="L12" s="212"/>
      <c r="M12" s="212"/>
      <c r="N12" s="214"/>
    </row>
    <row r="13" spans="1:14" ht="27.75" customHeight="1" x14ac:dyDescent="0.45">
      <c r="A13" s="211"/>
      <c r="B13" s="212"/>
      <c r="C13" s="212"/>
      <c r="D13" s="154" t="s">
        <v>191</v>
      </c>
      <c r="E13" s="155"/>
      <c r="F13" s="155"/>
      <c r="G13" s="154" t="s">
        <v>108</v>
      </c>
      <c r="H13" s="154">
        <v>1</v>
      </c>
      <c r="I13" s="212"/>
      <c r="J13" s="213"/>
      <c r="K13" s="212"/>
      <c r="L13" s="212"/>
      <c r="M13" s="212"/>
      <c r="N13" s="214"/>
    </row>
    <row r="14" spans="1:14" ht="27.75" customHeight="1" x14ac:dyDescent="0.45">
      <c r="A14" s="211"/>
      <c r="B14" s="212" t="str">
        <f>Connection_Plan!B21</f>
        <v>2900-1-AUS-V5-110m</v>
      </c>
      <c r="C14" s="212" t="s">
        <v>48</v>
      </c>
      <c r="D14" s="150" t="s">
        <v>187</v>
      </c>
      <c r="E14" s="151"/>
      <c r="F14" s="151"/>
      <c r="G14" s="150" t="s">
        <v>104</v>
      </c>
      <c r="H14" s="150">
        <v>3</v>
      </c>
      <c r="I14" s="212" t="s">
        <v>188</v>
      </c>
      <c r="J14" s="213"/>
      <c r="K14" s="212" t="s">
        <v>189</v>
      </c>
      <c r="L14" s="212"/>
      <c r="M14" s="212"/>
      <c r="N14" s="214"/>
    </row>
    <row r="15" spans="1:14" ht="27.75" customHeight="1" x14ac:dyDescent="0.45">
      <c r="A15" s="211"/>
      <c r="B15" s="212"/>
      <c r="C15" s="212"/>
      <c r="D15" s="152" t="s">
        <v>190</v>
      </c>
      <c r="E15" s="153"/>
      <c r="F15" s="153"/>
      <c r="G15" s="152" t="s">
        <v>106</v>
      </c>
      <c r="H15" s="152">
        <v>2</v>
      </c>
      <c r="I15" s="212"/>
      <c r="J15" s="213"/>
      <c r="K15" s="212"/>
      <c r="L15" s="212"/>
      <c r="M15" s="212"/>
      <c r="N15" s="214"/>
    </row>
    <row r="16" spans="1:14" ht="27.75" customHeight="1" x14ac:dyDescent="0.45">
      <c r="A16" s="211"/>
      <c r="B16" s="212"/>
      <c r="C16" s="212"/>
      <c r="D16" s="154" t="s">
        <v>191</v>
      </c>
      <c r="E16" s="155"/>
      <c r="F16" s="155"/>
      <c r="G16" s="154" t="s">
        <v>108</v>
      </c>
      <c r="H16" s="154">
        <v>1</v>
      </c>
      <c r="I16" s="212"/>
      <c r="J16" s="213"/>
      <c r="K16" s="212"/>
      <c r="L16" s="212"/>
      <c r="M16" s="212"/>
      <c r="N16" s="214"/>
    </row>
    <row r="17" spans="1:14" ht="27.75" customHeight="1" x14ac:dyDescent="0.45">
      <c r="A17" s="211"/>
      <c r="B17" s="212" t="str">
        <f>Connection_Plan!B24</f>
        <v>2900-1-AUS-V6-110m</v>
      </c>
      <c r="C17" s="212" t="s">
        <v>48</v>
      </c>
      <c r="D17" s="150" t="s">
        <v>187</v>
      </c>
      <c r="E17" s="151"/>
      <c r="F17" s="151"/>
      <c r="G17" s="150" t="s">
        <v>104</v>
      </c>
      <c r="H17" s="150">
        <v>3</v>
      </c>
      <c r="I17" s="212" t="s">
        <v>188</v>
      </c>
      <c r="J17" s="213"/>
      <c r="K17" s="212" t="s">
        <v>189</v>
      </c>
      <c r="L17" s="212"/>
      <c r="M17" s="212"/>
      <c r="N17" s="214"/>
    </row>
    <row r="18" spans="1:14" ht="27.75" customHeight="1" x14ac:dyDescent="0.45">
      <c r="A18" s="211"/>
      <c r="B18" s="212"/>
      <c r="C18" s="212"/>
      <c r="D18" s="152" t="s">
        <v>190</v>
      </c>
      <c r="E18" s="153"/>
      <c r="F18" s="153"/>
      <c r="G18" s="152" t="s">
        <v>106</v>
      </c>
      <c r="H18" s="152">
        <v>2</v>
      </c>
      <c r="I18" s="212"/>
      <c r="J18" s="213"/>
      <c r="K18" s="212"/>
      <c r="L18" s="212"/>
      <c r="M18" s="212"/>
      <c r="N18" s="214"/>
    </row>
    <row r="19" spans="1:14" ht="27.75" customHeight="1" x14ac:dyDescent="0.45">
      <c r="A19" s="211"/>
      <c r="B19" s="212"/>
      <c r="C19" s="212"/>
      <c r="D19" s="154" t="s">
        <v>191</v>
      </c>
      <c r="E19" s="155"/>
      <c r="F19" s="155"/>
      <c r="G19" s="154" t="s">
        <v>108</v>
      </c>
      <c r="H19" s="154">
        <v>1</v>
      </c>
      <c r="I19" s="212"/>
      <c r="J19" s="213"/>
      <c r="K19" s="212"/>
      <c r="L19" s="212"/>
      <c r="M19" s="212"/>
      <c r="N19" s="214"/>
    </row>
    <row r="20" spans="1:14" ht="27.75" customHeight="1" x14ac:dyDescent="0.45">
      <c r="A20" s="211"/>
      <c r="B20" s="212" t="str">
        <f>Connection_Plan!B27</f>
        <v>2900-1-AUS-V7-90m</v>
      </c>
      <c r="C20" s="212" t="s">
        <v>48</v>
      </c>
      <c r="D20" s="150" t="s">
        <v>187</v>
      </c>
      <c r="E20" s="151"/>
      <c r="F20" s="151"/>
      <c r="G20" s="150" t="s">
        <v>104</v>
      </c>
      <c r="H20" s="150">
        <v>3</v>
      </c>
      <c r="I20" s="212" t="s">
        <v>188</v>
      </c>
      <c r="J20" s="213"/>
      <c r="K20" s="212" t="s">
        <v>189</v>
      </c>
      <c r="L20" s="212"/>
      <c r="M20" s="212"/>
      <c r="N20" s="214"/>
    </row>
    <row r="21" spans="1:14" ht="27.75" customHeight="1" x14ac:dyDescent="0.45">
      <c r="A21" s="211"/>
      <c r="B21" s="212"/>
      <c r="C21" s="212"/>
      <c r="D21" s="152" t="s">
        <v>190</v>
      </c>
      <c r="E21" s="153"/>
      <c r="F21" s="153"/>
      <c r="G21" s="152" t="s">
        <v>106</v>
      </c>
      <c r="H21" s="152">
        <v>2</v>
      </c>
      <c r="I21" s="212"/>
      <c r="J21" s="213"/>
      <c r="K21" s="212"/>
      <c r="L21" s="212"/>
      <c r="M21" s="212"/>
      <c r="N21" s="214"/>
    </row>
    <row r="22" spans="1:14" ht="27.75" customHeight="1" x14ac:dyDescent="0.45">
      <c r="A22" s="211"/>
      <c r="B22" s="212"/>
      <c r="C22" s="212"/>
      <c r="D22" s="154" t="s">
        <v>191</v>
      </c>
      <c r="E22" s="155"/>
      <c r="F22" s="155"/>
      <c r="G22" s="154" t="s">
        <v>108</v>
      </c>
      <c r="H22" s="154">
        <v>1</v>
      </c>
      <c r="I22" s="212"/>
      <c r="J22" s="213"/>
      <c r="K22" s="212"/>
      <c r="L22" s="212"/>
      <c r="M22" s="212"/>
      <c r="N22" s="214"/>
    </row>
    <row r="23" spans="1:14" ht="27.75" customHeight="1" x14ac:dyDescent="0.45">
      <c r="A23" s="211"/>
      <c r="B23" s="212" t="str">
        <f>Connection_Plan!B30</f>
        <v>2900-1-AUS-V8-90m</v>
      </c>
      <c r="C23" s="212" t="s">
        <v>48</v>
      </c>
      <c r="D23" s="150" t="s">
        <v>187</v>
      </c>
      <c r="E23" s="151"/>
      <c r="F23" s="151"/>
      <c r="G23" s="150" t="s">
        <v>104</v>
      </c>
      <c r="H23" s="150">
        <v>3</v>
      </c>
      <c r="I23" s="212" t="s">
        <v>188</v>
      </c>
      <c r="J23" s="213"/>
      <c r="K23" s="212" t="s">
        <v>189</v>
      </c>
      <c r="L23" s="212"/>
      <c r="M23" s="212"/>
      <c r="N23" s="214"/>
    </row>
    <row r="24" spans="1:14" ht="27.75" customHeight="1" x14ac:dyDescent="0.45">
      <c r="A24" s="211"/>
      <c r="B24" s="212"/>
      <c r="C24" s="212"/>
      <c r="D24" s="152" t="s">
        <v>190</v>
      </c>
      <c r="E24" s="153"/>
      <c r="F24" s="153"/>
      <c r="G24" s="152" t="s">
        <v>106</v>
      </c>
      <c r="H24" s="152">
        <v>2</v>
      </c>
      <c r="I24" s="212"/>
      <c r="J24" s="213"/>
      <c r="K24" s="212"/>
      <c r="L24" s="212"/>
      <c r="M24" s="212"/>
      <c r="N24" s="214"/>
    </row>
    <row r="25" spans="1:14" ht="27.75" customHeight="1" thickBot="1" x14ac:dyDescent="0.5">
      <c r="A25" s="211"/>
      <c r="B25" s="212"/>
      <c r="C25" s="212"/>
      <c r="D25" s="154" t="s">
        <v>191</v>
      </c>
      <c r="E25" s="155"/>
      <c r="F25" s="155"/>
      <c r="G25" s="154" t="s">
        <v>108</v>
      </c>
      <c r="H25" s="154">
        <v>1</v>
      </c>
      <c r="I25" s="212"/>
      <c r="J25" s="213"/>
      <c r="K25" s="212"/>
      <c r="L25" s="212"/>
      <c r="M25" s="212"/>
      <c r="N25" s="214"/>
    </row>
    <row r="26" spans="1:14" ht="27.75" customHeight="1" thickBot="1" x14ac:dyDescent="0.5">
      <c r="A26" s="211"/>
      <c r="B26" s="212" t="str">
        <f>Connection_Plan!B33</f>
        <v>2900-1-AUS-V9-40m</v>
      </c>
      <c r="C26" s="212" t="s">
        <v>48</v>
      </c>
      <c r="D26" s="150" t="s">
        <v>187</v>
      </c>
      <c r="E26" s="151"/>
      <c r="F26" s="151"/>
      <c r="G26" s="150" t="s">
        <v>104</v>
      </c>
      <c r="H26" s="150">
        <v>3</v>
      </c>
      <c r="I26" s="212" t="s">
        <v>188</v>
      </c>
      <c r="J26" s="213"/>
      <c r="K26" s="212" t="s">
        <v>189</v>
      </c>
      <c r="L26" s="212"/>
      <c r="M26" s="212"/>
      <c r="N26" s="214"/>
    </row>
    <row r="27" spans="1:14" ht="27.75" customHeight="1" thickBot="1" x14ac:dyDescent="0.5">
      <c r="A27" s="211"/>
      <c r="B27" s="212"/>
      <c r="C27" s="212"/>
      <c r="D27" s="152" t="s">
        <v>190</v>
      </c>
      <c r="E27" s="153"/>
      <c r="F27" s="153"/>
      <c r="G27" s="152" t="s">
        <v>106</v>
      </c>
      <c r="H27" s="152">
        <v>2</v>
      </c>
      <c r="I27" s="212"/>
      <c r="J27" s="213"/>
      <c r="K27" s="212"/>
      <c r="L27" s="212"/>
      <c r="M27" s="212"/>
      <c r="N27" s="214"/>
    </row>
    <row r="28" spans="1:14" ht="27.75" customHeight="1" thickBot="1" x14ac:dyDescent="0.5">
      <c r="A28" s="211"/>
      <c r="B28" s="212"/>
      <c r="C28" s="212"/>
      <c r="D28" s="154" t="s">
        <v>191</v>
      </c>
      <c r="E28" s="155"/>
      <c r="F28" s="155"/>
      <c r="G28" s="154" t="s">
        <v>108</v>
      </c>
      <c r="H28" s="154">
        <v>1</v>
      </c>
      <c r="I28" s="212"/>
      <c r="J28" s="213"/>
      <c r="K28" s="212"/>
      <c r="L28" s="212"/>
      <c r="M28" s="212"/>
      <c r="N28" s="214"/>
    </row>
    <row r="29" spans="1:14" ht="27.75" customHeight="1" thickBot="1" x14ac:dyDescent="0.5">
      <c r="A29" s="211"/>
      <c r="B29" s="212" t="str">
        <f>Connection_Plan!B36</f>
        <v>2900-1-AUS-V10-40m</v>
      </c>
      <c r="C29" s="212" t="s">
        <v>48</v>
      </c>
      <c r="D29" s="150" t="s">
        <v>187</v>
      </c>
      <c r="E29" s="151"/>
      <c r="F29" s="151"/>
      <c r="G29" s="150" t="s">
        <v>104</v>
      </c>
      <c r="H29" s="150">
        <v>3</v>
      </c>
      <c r="I29" s="212" t="s">
        <v>188</v>
      </c>
      <c r="J29" s="213"/>
      <c r="K29" s="212" t="s">
        <v>189</v>
      </c>
      <c r="L29" s="212"/>
      <c r="M29" s="212"/>
      <c r="N29" s="214"/>
    </row>
    <row r="30" spans="1:14" ht="27.75" customHeight="1" thickBot="1" x14ac:dyDescent="0.5">
      <c r="A30" s="211"/>
      <c r="B30" s="212"/>
      <c r="C30" s="212"/>
      <c r="D30" s="152" t="s">
        <v>190</v>
      </c>
      <c r="E30" s="153"/>
      <c r="F30" s="153"/>
      <c r="G30" s="152" t="s">
        <v>106</v>
      </c>
      <c r="H30" s="152">
        <v>2</v>
      </c>
      <c r="I30" s="212"/>
      <c r="J30" s="213"/>
      <c r="K30" s="212"/>
      <c r="L30" s="212"/>
      <c r="M30" s="212"/>
      <c r="N30" s="214"/>
    </row>
    <row r="31" spans="1:14" ht="27.75" customHeight="1" thickBot="1" x14ac:dyDescent="0.5">
      <c r="A31" s="211"/>
      <c r="B31" s="212"/>
      <c r="C31" s="212"/>
      <c r="D31" s="154" t="s">
        <v>191</v>
      </c>
      <c r="E31" s="155"/>
      <c r="F31" s="155"/>
      <c r="G31" s="154" t="s">
        <v>108</v>
      </c>
      <c r="H31" s="154">
        <v>1</v>
      </c>
      <c r="I31" s="212"/>
      <c r="J31" s="213"/>
      <c r="K31" s="212"/>
      <c r="L31" s="212"/>
      <c r="M31" s="212"/>
      <c r="N31" s="214"/>
    </row>
    <row r="32" spans="1:14" ht="27.75" customHeight="1" thickBot="1" x14ac:dyDescent="0.5">
      <c r="A32" s="211"/>
      <c r="B32" s="212" t="str">
        <f>Connection_Plan!B39</f>
        <v>2900-1-AUS-D1-155m</v>
      </c>
      <c r="C32" s="212" t="s">
        <v>53</v>
      </c>
      <c r="D32" s="150" t="s">
        <v>187</v>
      </c>
      <c r="E32" s="151"/>
      <c r="F32" s="151"/>
      <c r="G32" s="150" t="s">
        <v>104</v>
      </c>
      <c r="H32" s="150">
        <v>1</v>
      </c>
      <c r="I32" s="212" t="s">
        <v>192</v>
      </c>
      <c r="J32" s="215"/>
      <c r="K32" s="212" t="s">
        <v>193</v>
      </c>
      <c r="L32" s="212"/>
      <c r="M32" s="212"/>
      <c r="N32" s="214"/>
    </row>
    <row r="33" spans="1:14" ht="27.75" customHeight="1" x14ac:dyDescent="0.45">
      <c r="A33" s="211"/>
      <c r="B33" s="212"/>
      <c r="C33" s="212"/>
      <c r="D33" s="152" t="s">
        <v>190</v>
      </c>
      <c r="E33" s="153"/>
      <c r="F33" s="153"/>
      <c r="G33" s="152" t="s">
        <v>118</v>
      </c>
      <c r="H33" s="152">
        <v>2</v>
      </c>
      <c r="I33" s="212"/>
      <c r="J33" s="215"/>
      <c r="K33" s="212"/>
      <c r="L33" s="212"/>
      <c r="M33" s="212"/>
      <c r="N33" s="214"/>
    </row>
    <row r="34" spans="1:14" ht="27.75" customHeight="1" x14ac:dyDescent="0.45">
      <c r="A34" s="211"/>
      <c r="B34" s="212"/>
      <c r="C34" s="212"/>
      <c r="D34" s="152" t="s">
        <v>191</v>
      </c>
      <c r="E34" s="156"/>
      <c r="F34" s="156"/>
      <c r="G34" s="152" t="s">
        <v>122</v>
      </c>
      <c r="H34" s="152">
        <v>3</v>
      </c>
      <c r="I34" s="212"/>
      <c r="J34" s="215"/>
      <c r="K34" s="212"/>
      <c r="L34" s="212"/>
      <c r="M34" s="212"/>
      <c r="N34" s="214"/>
    </row>
    <row r="35" spans="1:14" ht="27.75" customHeight="1" x14ac:dyDescent="0.45">
      <c r="A35" s="211"/>
      <c r="B35" s="212"/>
      <c r="C35" s="212"/>
      <c r="D35" s="154" t="s">
        <v>194</v>
      </c>
      <c r="E35" s="157"/>
      <c r="F35" s="157"/>
      <c r="G35" s="154" t="s">
        <v>124</v>
      </c>
      <c r="H35" s="154">
        <v>4</v>
      </c>
      <c r="I35" s="212"/>
      <c r="J35" s="215"/>
      <c r="K35" s="212"/>
      <c r="L35" s="212"/>
      <c r="M35" s="212"/>
      <c r="N35" s="214"/>
    </row>
    <row r="36" spans="1:14" ht="27.75" customHeight="1" x14ac:dyDescent="0.45">
      <c r="A36" s="211"/>
      <c r="B36" s="212" t="str">
        <f>Connection_Plan!B43</f>
        <v>2900-1-AUS-D2-125m</v>
      </c>
      <c r="C36" s="212" t="s">
        <v>53</v>
      </c>
      <c r="D36" s="150" t="s">
        <v>187</v>
      </c>
      <c r="E36" s="151"/>
      <c r="F36" s="151"/>
      <c r="G36" s="150" t="s">
        <v>104</v>
      </c>
      <c r="H36" s="150">
        <v>1</v>
      </c>
      <c r="I36" s="212" t="s">
        <v>192</v>
      </c>
      <c r="J36" s="215"/>
      <c r="K36" s="212" t="s">
        <v>193</v>
      </c>
      <c r="L36" s="212"/>
      <c r="M36" s="212"/>
      <c r="N36" s="214"/>
    </row>
    <row r="37" spans="1:14" ht="27.75" customHeight="1" x14ac:dyDescent="0.45">
      <c r="A37" s="211"/>
      <c r="B37" s="212"/>
      <c r="C37" s="212"/>
      <c r="D37" s="152" t="s">
        <v>190</v>
      </c>
      <c r="E37" s="153"/>
      <c r="F37" s="153"/>
      <c r="G37" s="152" t="s">
        <v>118</v>
      </c>
      <c r="H37" s="152">
        <v>2</v>
      </c>
      <c r="I37" s="212"/>
      <c r="J37" s="215"/>
      <c r="K37" s="212"/>
      <c r="L37" s="212"/>
      <c r="M37" s="212"/>
      <c r="N37" s="214"/>
    </row>
    <row r="38" spans="1:14" ht="27.75" customHeight="1" x14ac:dyDescent="0.45">
      <c r="A38" s="211"/>
      <c r="B38" s="212"/>
      <c r="C38" s="212"/>
      <c r="D38" s="152" t="s">
        <v>191</v>
      </c>
      <c r="E38" s="156"/>
      <c r="F38" s="156"/>
      <c r="G38" s="152" t="s">
        <v>122</v>
      </c>
      <c r="H38" s="152">
        <v>3</v>
      </c>
      <c r="I38" s="212"/>
      <c r="J38" s="215"/>
      <c r="K38" s="212"/>
      <c r="L38" s="212"/>
      <c r="M38" s="212"/>
      <c r="N38" s="214"/>
    </row>
    <row r="39" spans="1:14" ht="27.75" customHeight="1" x14ac:dyDescent="0.45">
      <c r="A39" s="211"/>
      <c r="B39" s="212"/>
      <c r="C39" s="212"/>
      <c r="D39" s="154" t="s">
        <v>194</v>
      </c>
      <c r="E39" s="157"/>
      <c r="F39" s="157"/>
      <c r="G39" s="154" t="s">
        <v>124</v>
      </c>
      <c r="H39" s="154">
        <v>4</v>
      </c>
      <c r="I39" s="212"/>
      <c r="J39" s="215"/>
      <c r="K39" s="212"/>
      <c r="L39" s="212"/>
      <c r="M39" s="212"/>
      <c r="N39" s="214"/>
    </row>
    <row r="40" spans="1:14" ht="27.75" customHeight="1" x14ac:dyDescent="0.45">
      <c r="A40" s="211"/>
      <c r="B40" s="212" t="str">
        <f>Connection_Plan!B47</f>
        <v>2900-1-AUS-D3-105m</v>
      </c>
      <c r="C40" s="212" t="s">
        <v>53</v>
      </c>
      <c r="D40" s="150" t="s">
        <v>187</v>
      </c>
      <c r="E40" s="151"/>
      <c r="F40" s="151"/>
      <c r="G40" s="150" t="s">
        <v>104</v>
      </c>
      <c r="H40" s="150">
        <v>1</v>
      </c>
      <c r="I40" s="212" t="s">
        <v>192</v>
      </c>
      <c r="J40" s="215"/>
      <c r="K40" s="212" t="s">
        <v>193</v>
      </c>
      <c r="L40" s="212"/>
      <c r="M40" s="212"/>
      <c r="N40" s="214"/>
    </row>
    <row r="41" spans="1:14" ht="27.75" customHeight="1" x14ac:dyDescent="0.45">
      <c r="A41" s="211"/>
      <c r="B41" s="212"/>
      <c r="C41" s="212"/>
      <c r="D41" s="152" t="s">
        <v>190</v>
      </c>
      <c r="E41" s="153"/>
      <c r="F41" s="153"/>
      <c r="G41" s="152" t="s">
        <v>118</v>
      </c>
      <c r="H41" s="152">
        <v>2</v>
      </c>
      <c r="I41" s="212"/>
      <c r="J41" s="215"/>
      <c r="K41" s="212"/>
      <c r="L41" s="212"/>
      <c r="M41" s="212"/>
      <c r="N41" s="214"/>
    </row>
    <row r="42" spans="1:14" ht="27.75" customHeight="1" x14ac:dyDescent="0.45">
      <c r="A42" s="211"/>
      <c r="B42" s="212"/>
      <c r="C42" s="212"/>
      <c r="D42" s="152" t="s">
        <v>191</v>
      </c>
      <c r="E42" s="156"/>
      <c r="F42" s="156"/>
      <c r="G42" s="152" t="s">
        <v>122</v>
      </c>
      <c r="H42" s="152">
        <v>3</v>
      </c>
      <c r="I42" s="212"/>
      <c r="J42" s="215"/>
      <c r="K42" s="212"/>
      <c r="L42" s="212"/>
      <c r="M42" s="212"/>
      <c r="N42" s="214"/>
    </row>
    <row r="43" spans="1:14" ht="27.75" customHeight="1" x14ac:dyDescent="0.45">
      <c r="A43" s="211"/>
      <c r="B43" s="212"/>
      <c r="C43" s="212"/>
      <c r="D43" s="154" t="s">
        <v>194</v>
      </c>
      <c r="E43" s="157"/>
      <c r="F43" s="157"/>
      <c r="G43" s="154" t="s">
        <v>124</v>
      </c>
      <c r="H43" s="154">
        <v>4</v>
      </c>
      <c r="I43" s="212"/>
      <c r="J43" s="215"/>
      <c r="K43" s="212"/>
      <c r="L43" s="212"/>
      <c r="M43" s="212"/>
      <c r="N43" s="214"/>
    </row>
    <row r="44" spans="1:14" ht="27.75" customHeight="1" x14ac:dyDescent="0.45">
      <c r="A44" s="211"/>
      <c r="B44" s="212" t="str">
        <f>Connection_Plan!B51</f>
        <v>2900-1-AUS-TH1-150m</v>
      </c>
      <c r="C44" s="212" t="s">
        <v>59</v>
      </c>
      <c r="D44" s="150" t="s">
        <v>187</v>
      </c>
      <c r="E44" s="151"/>
      <c r="F44" s="151"/>
      <c r="G44" s="150" t="s">
        <v>104</v>
      </c>
      <c r="H44" s="150">
        <v>4</v>
      </c>
      <c r="I44" s="212" t="s">
        <v>192</v>
      </c>
      <c r="J44" s="213"/>
      <c r="K44" s="212" t="s">
        <v>195</v>
      </c>
      <c r="L44" s="212"/>
      <c r="M44" s="212"/>
      <c r="N44" s="214"/>
    </row>
    <row r="45" spans="1:14" ht="27.75" customHeight="1" x14ac:dyDescent="0.45">
      <c r="A45" s="211"/>
      <c r="B45" s="212"/>
      <c r="C45" s="212"/>
      <c r="D45" s="152" t="s">
        <v>196</v>
      </c>
      <c r="E45" s="153"/>
      <c r="F45" s="153"/>
      <c r="G45" s="152" t="s">
        <v>118</v>
      </c>
      <c r="H45" s="152">
        <v>1</v>
      </c>
      <c r="I45" s="212"/>
      <c r="J45" s="213"/>
      <c r="K45" s="212"/>
      <c r="L45" s="212"/>
      <c r="M45" s="212"/>
      <c r="N45" s="214"/>
    </row>
    <row r="46" spans="1:14" ht="27.75" customHeight="1" x14ac:dyDescent="0.45">
      <c r="A46" s="211"/>
      <c r="B46" s="212"/>
      <c r="C46" s="212"/>
      <c r="D46" s="152" t="s">
        <v>191</v>
      </c>
      <c r="E46" s="156"/>
      <c r="F46" s="156"/>
      <c r="G46" s="152" t="s">
        <v>134</v>
      </c>
      <c r="H46" s="152">
        <v>2</v>
      </c>
      <c r="I46" s="212"/>
      <c r="J46" s="213"/>
      <c r="K46" s="212"/>
      <c r="L46" s="212"/>
      <c r="M46" s="212"/>
      <c r="N46" s="214"/>
    </row>
    <row r="47" spans="1:14" ht="27.75" customHeight="1" x14ac:dyDescent="0.45">
      <c r="A47" s="211"/>
      <c r="B47" s="212"/>
      <c r="C47" s="212"/>
      <c r="D47" s="152" t="s">
        <v>194</v>
      </c>
      <c r="E47" s="158"/>
      <c r="F47" s="158"/>
      <c r="G47" s="152" t="s">
        <v>136</v>
      </c>
      <c r="H47" s="152">
        <v>3</v>
      </c>
      <c r="I47" s="212"/>
      <c r="J47" s="213"/>
      <c r="K47" s="212"/>
      <c r="L47" s="212"/>
      <c r="M47" s="212"/>
      <c r="N47" s="214"/>
    </row>
    <row r="48" spans="1:14" ht="27.75" customHeight="1" x14ac:dyDescent="0.45">
      <c r="A48" s="211"/>
      <c r="B48" s="212"/>
      <c r="C48" s="212"/>
      <c r="D48" s="152" t="s">
        <v>197</v>
      </c>
      <c r="E48" s="159"/>
      <c r="F48" s="159"/>
      <c r="G48" s="152" t="s">
        <v>138</v>
      </c>
      <c r="H48" s="152">
        <v>7</v>
      </c>
      <c r="I48" s="212"/>
      <c r="J48" s="213"/>
      <c r="K48" s="212"/>
      <c r="L48" s="212"/>
      <c r="M48" s="212"/>
      <c r="N48" s="214"/>
    </row>
    <row r="49" spans="1:14" ht="27.75" customHeight="1" x14ac:dyDescent="0.45">
      <c r="A49" s="211"/>
      <c r="B49" s="212"/>
      <c r="C49" s="212"/>
      <c r="D49" s="154" t="s">
        <v>198</v>
      </c>
      <c r="E49" s="160"/>
      <c r="F49" s="160"/>
      <c r="G49" s="154" t="s">
        <v>140</v>
      </c>
      <c r="H49" s="154">
        <v>5</v>
      </c>
      <c r="I49" s="212"/>
      <c r="J49" s="213"/>
      <c r="K49" s="212"/>
      <c r="L49" s="212"/>
      <c r="M49" s="212"/>
      <c r="N49" s="214"/>
    </row>
    <row r="50" spans="1:14" ht="27.75" customHeight="1" x14ac:dyDescent="0.45">
      <c r="A50" s="211"/>
      <c r="B50" s="212" t="str">
        <f>Connection_Plan!B57</f>
        <v>2900-1-AUS-TH2-5m</v>
      </c>
      <c r="C50" s="212" t="s">
        <v>59</v>
      </c>
      <c r="D50" s="150" t="s">
        <v>187</v>
      </c>
      <c r="E50" s="151"/>
      <c r="F50" s="151"/>
      <c r="G50" s="150" t="s">
        <v>104</v>
      </c>
      <c r="H50" s="150">
        <v>4</v>
      </c>
      <c r="I50" s="212" t="s">
        <v>192</v>
      </c>
      <c r="J50" s="213"/>
      <c r="K50" s="212" t="s">
        <v>195</v>
      </c>
      <c r="L50" s="212"/>
      <c r="M50" s="212"/>
      <c r="N50" s="214"/>
    </row>
    <row r="51" spans="1:14" ht="27.75" customHeight="1" x14ac:dyDescent="0.45">
      <c r="A51" s="211"/>
      <c r="B51" s="212"/>
      <c r="C51" s="212"/>
      <c r="D51" s="152" t="s">
        <v>196</v>
      </c>
      <c r="E51" s="153"/>
      <c r="F51" s="153"/>
      <c r="G51" s="152" t="s">
        <v>118</v>
      </c>
      <c r="H51" s="152">
        <v>1</v>
      </c>
      <c r="I51" s="212"/>
      <c r="J51" s="213"/>
      <c r="K51" s="212"/>
      <c r="L51" s="212"/>
      <c r="M51" s="212"/>
      <c r="N51" s="214"/>
    </row>
    <row r="52" spans="1:14" ht="27.75" customHeight="1" x14ac:dyDescent="0.45">
      <c r="A52" s="211"/>
      <c r="B52" s="212"/>
      <c r="C52" s="212"/>
      <c r="D52" s="152" t="s">
        <v>191</v>
      </c>
      <c r="E52" s="156"/>
      <c r="F52" s="156"/>
      <c r="G52" s="152" t="s">
        <v>134</v>
      </c>
      <c r="H52" s="152">
        <v>2</v>
      </c>
      <c r="I52" s="212"/>
      <c r="J52" s="213"/>
      <c r="K52" s="212"/>
      <c r="L52" s="212"/>
      <c r="M52" s="212"/>
      <c r="N52" s="214"/>
    </row>
    <row r="53" spans="1:14" ht="27.75" customHeight="1" x14ac:dyDescent="0.45">
      <c r="A53" s="211"/>
      <c r="B53" s="212"/>
      <c r="C53" s="212"/>
      <c r="D53" s="152" t="s">
        <v>194</v>
      </c>
      <c r="E53" s="158"/>
      <c r="F53" s="158"/>
      <c r="G53" s="152" t="s">
        <v>136</v>
      </c>
      <c r="H53" s="152">
        <v>3</v>
      </c>
      <c r="I53" s="212"/>
      <c r="J53" s="213"/>
      <c r="K53" s="212"/>
      <c r="L53" s="212"/>
      <c r="M53" s="212"/>
      <c r="N53" s="214"/>
    </row>
    <row r="54" spans="1:14" ht="27.75" customHeight="1" x14ac:dyDescent="0.45">
      <c r="A54" s="211"/>
      <c r="B54" s="212"/>
      <c r="C54" s="212"/>
      <c r="D54" s="152" t="s">
        <v>197</v>
      </c>
      <c r="E54" s="159"/>
      <c r="F54" s="159"/>
      <c r="G54" s="152" t="s">
        <v>138</v>
      </c>
      <c r="H54" s="152">
        <v>7</v>
      </c>
      <c r="I54" s="212"/>
      <c r="J54" s="213"/>
      <c r="K54" s="212"/>
      <c r="L54" s="212"/>
      <c r="M54" s="212"/>
      <c r="N54" s="214"/>
    </row>
    <row r="55" spans="1:14" ht="27.75" customHeight="1" x14ac:dyDescent="0.45">
      <c r="A55" s="211"/>
      <c r="B55" s="212"/>
      <c r="C55" s="212"/>
      <c r="D55" s="154" t="s">
        <v>198</v>
      </c>
      <c r="E55" s="160"/>
      <c r="F55" s="160"/>
      <c r="G55" s="154" t="s">
        <v>140</v>
      </c>
      <c r="H55" s="154">
        <v>5</v>
      </c>
      <c r="I55" s="212"/>
      <c r="J55" s="213"/>
      <c r="K55" s="212"/>
      <c r="L55" s="212"/>
      <c r="M55" s="212"/>
      <c r="N55" s="214"/>
    </row>
    <row r="56" spans="1:14" ht="27.75" customHeight="1" x14ac:dyDescent="0.45">
      <c r="A56" s="211"/>
      <c r="B56" s="212" t="str">
        <f>Connection_Plan!B63</f>
        <v>2900-1-AUS-P1-150m</v>
      </c>
      <c r="C56" s="212" t="s">
        <v>63</v>
      </c>
      <c r="D56" s="150" t="s">
        <v>187</v>
      </c>
      <c r="E56" s="151"/>
      <c r="F56" s="151"/>
      <c r="G56" s="150" t="s">
        <v>104</v>
      </c>
      <c r="H56" s="150">
        <v>2</v>
      </c>
      <c r="I56" s="212" t="s">
        <v>199</v>
      </c>
      <c r="J56" s="212"/>
      <c r="K56" s="212" t="s">
        <v>193</v>
      </c>
      <c r="L56" s="212"/>
      <c r="M56" s="212"/>
      <c r="N56" s="214"/>
    </row>
    <row r="57" spans="1:14" ht="27.75" customHeight="1" x14ac:dyDescent="0.45">
      <c r="A57" s="211"/>
      <c r="B57" s="212"/>
      <c r="C57" s="212"/>
      <c r="D57" s="152" t="s">
        <v>196</v>
      </c>
      <c r="E57" s="153"/>
      <c r="F57" s="153"/>
      <c r="G57" s="152" t="s">
        <v>118</v>
      </c>
      <c r="H57" s="152">
        <v>3</v>
      </c>
      <c r="I57" s="212"/>
      <c r="J57" s="212"/>
      <c r="K57" s="212"/>
      <c r="L57" s="212"/>
      <c r="M57" s="212"/>
      <c r="N57" s="214"/>
    </row>
    <row r="58" spans="1:14" ht="27.75" customHeight="1" x14ac:dyDescent="0.45">
      <c r="A58" s="211"/>
      <c r="B58" s="212"/>
      <c r="C58" s="212"/>
      <c r="D58" s="152" t="s">
        <v>191</v>
      </c>
      <c r="E58" s="156"/>
      <c r="F58" s="156"/>
      <c r="G58" s="152" t="s">
        <v>122</v>
      </c>
      <c r="H58" s="152">
        <v>6</v>
      </c>
      <c r="I58" s="212"/>
      <c r="J58" s="212"/>
      <c r="K58" s="212"/>
      <c r="L58" s="212"/>
      <c r="M58" s="212"/>
      <c r="N58" s="214"/>
    </row>
    <row r="59" spans="1:14" ht="27.75" customHeight="1" x14ac:dyDescent="0.45">
      <c r="A59" s="211"/>
      <c r="B59" s="212"/>
      <c r="C59" s="212"/>
      <c r="D59" s="154" t="s">
        <v>194</v>
      </c>
      <c r="E59" s="157"/>
      <c r="F59" s="157"/>
      <c r="G59" s="154" t="s">
        <v>124</v>
      </c>
      <c r="H59" s="154">
        <v>5</v>
      </c>
      <c r="I59" s="212"/>
      <c r="J59" s="212"/>
      <c r="K59" s="212"/>
      <c r="L59" s="212"/>
      <c r="M59" s="212"/>
      <c r="N59" s="214"/>
    </row>
    <row r="60" spans="1:14" ht="27.75" customHeight="1" x14ac:dyDescent="0.45">
      <c r="A60" s="211"/>
      <c r="B60" s="212" t="str">
        <f>Connection_Plan!B67</f>
        <v>2900-1-AUS-P2-5m</v>
      </c>
      <c r="C60" s="212" t="s">
        <v>63</v>
      </c>
      <c r="D60" s="150" t="s">
        <v>187</v>
      </c>
      <c r="E60" s="151"/>
      <c r="F60" s="151"/>
      <c r="G60" s="150" t="s">
        <v>104</v>
      </c>
      <c r="H60" s="150">
        <v>2</v>
      </c>
      <c r="I60" s="212" t="s">
        <v>199</v>
      </c>
      <c r="J60" s="212"/>
      <c r="K60" s="212" t="s">
        <v>193</v>
      </c>
      <c r="L60" s="212"/>
      <c r="M60" s="212"/>
      <c r="N60" s="214"/>
    </row>
    <row r="61" spans="1:14" ht="27.75" customHeight="1" x14ac:dyDescent="0.45">
      <c r="A61" s="211"/>
      <c r="B61" s="212"/>
      <c r="C61" s="212"/>
      <c r="D61" s="152" t="s">
        <v>196</v>
      </c>
      <c r="E61" s="153"/>
      <c r="F61" s="153"/>
      <c r="G61" s="152" t="s">
        <v>118</v>
      </c>
      <c r="H61" s="152">
        <v>3</v>
      </c>
      <c r="I61" s="212"/>
      <c r="J61" s="212"/>
      <c r="K61" s="212"/>
      <c r="L61" s="212"/>
      <c r="M61" s="212"/>
      <c r="N61" s="214"/>
    </row>
    <row r="62" spans="1:14" ht="27.75" customHeight="1" x14ac:dyDescent="0.45">
      <c r="A62" s="211"/>
      <c r="B62" s="212"/>
      <c r="C62" s="212"/>
      <c r="D62" s="152" t="s">
        <v>191</v>
      </c>
      <c r="E62" s="156"/>
      <c r="F62" s="156"/>
      <c r="G62" s="152" t="s">
        <v>122</v>
      </c>
      <c r="H62" s="152">
        <v>6</v>
      </c>
      <c r="I62" s="212"/>
      <c r="J62" s="212"/>
      <c r="K62" s="212"/>
      <c r="L62" s="212"/>
      <c r="M62" s="212"/>
      <c r="N62" s="214"/>
    </row>
    <row r="63" spans="1:14" ht="27.75" customHeight="1" x14ac:dyDescent="0.45">
      <c r="A63" s="211"/>
      <c r="B63" s="212"/>
      <c r="C63" s="212"/>
      <c r="D63" s="154" t="s">
        <v>194</v>
      </c>
      <c r="E63" s="157"/>
      <c r="F63" s="157"/>
      <c r="G63" s="154" t="s">
        <v>124</v>
      </c>
      <c r="H63" s="154">
        <v>5</v>
      </c>
      <c r="I63" s="212"/>
      <c r="J63" s="212"/>
      <c r="K63" s="212"/>
      <c r="L63" s="212"/>
      <c r="M63" s="212"/>
      <c r="N63" s="214"/>
    </row>
    <row r="64" spans="1:14" ht="27.75" customHeight="1" x14ac:dyDescent="0.45"/>
    <row r="65" ht="27.75" customHeight="1" x14ac:dyDescent="0.45"/>
    <row r="66" ht="27.75" customHeight="1" x14ac:dyDescent="0.45"/>
    <row r="67" ht="27.75" customHeight="1" x14ac:dyDescent="0.45"/>
    <row r="68" ht="27.75" customHeight="1" x14ac:dyDescent="0.45"/>
    <row r="69" ht="27.75" customHeight="1" x14ac:dyDescent="0.45"/>
    <row r="70" ht="27.75" customHeight="1" x14ac:dyDescent="0.45"/>
    <row r="71" ht="27.75" customHeight="1" x14ac:dyDescent="0.45"/>
    <row r="72" ht="27.75" customHeight="1" x14ac:dyDescent="0.45"/>
    <row r="73" ht="27.75" customHeight="1" x14ac:dyDescent="0.45"/>
    <row r="74" ht="27.75" customHeight="1" x14ac:dyDescent="0.45"/>
    <row r="75" ht="27.75" customHeight="1" x14ac:dyDescent="0.45"/>
    <row r="76" ht="27.75" customHeight="1" x14ac:dyDescent="0.45"/>
    <row r="77" ht="27.75" customHeight="1" x14ac:dyDescent="0.45"/>
  </sheetData>
  <mergeCells count="152">
    <mergeCell ref="A29:A31"/>
    <mergeCell ref="B29:B31"/>
    <mergeCell ref="C29:C31"/>
    <mergeCell ref="I29:I31"/>
    <mergeCell ref="J29:J31"/>
    <mergeCell ref="K29:K31"/>
    <mergeCell ref="L29:L31"/>
    <mergeCell ref="M29:M31"/>
    <mergeCell ref="N29:N31"/>
    <mergeCell ref="A26:A28"/>
    <mergeCell ref="B26:B28"/>
    <mergeCell ref="C26:C28"/>
    <mergeCell ref="I26:I28"/>
    <mergeCell ref="J26:J28"/>
    <mergeCell ref="K26:K28"/>
    <mergeCell ref="L26:L28"/>
    <mergeCell ref="M26:M28"/>
    <mergeCell ref="N26:N28"/>
    <mergeCell ref="A56:A59"/>
    <mergeCell ref="B56:B59"/>
    <mergeCell ref="C56:C59"/>
    <mergeCell ref="I56:J59"/>
    <mergeCell ref="K56:K59"/>
    <mergeCell ref="L56:L59"/>
    <mergeCell ref="M56:M59"/>
    <mergeCell ref="N56:N59"/>
    <mergeCell ref="A60:A63"/>
    <mergeCell ref="B60:B63"/>
    <mergeCell ref="C60:C63"/>
    <mergeCell ref="I60:J63"/>
    <mergeCell ref="K60:K63"/>
    <mergeCell ref="L60:L63"/>
    <mergeCell ref="M60:M63"/>
    <mergeCell ref="N60:N63"/>
    <mergeCell ref="A50:A55"/>
    <mergeCell ref="B50:B55"/>
    <mergeCell ref="C50:C55"/>
    <mergeCell ref="I50:I55"/>
    <mergeCell ref="J50:J55"/>
    <mergeCell ref="K50:K55"/>
    <mergeCell ref="L50:L55"/>
    <mergeCell ref="M50:M55"/>
    <mergeCell ref="N50:N55"/>
    <mergeCell ref="A44:A49"/>
    <mergeCell ref="B44:B49"/>
    <mergeCell ref="C44:C49"/>
    <mergeCell ref="I44:I49"/>
    <mergeCell ref="J44:J49"/>
    <mergeCell ref="K44:K49"/>
    <mergeCell ref="L44:L49"/>
    <mergeCell ref="M44:M49"/>
    <mergeCell ref="N44:N49"/>
    <mergeCell ref="A40:A43"/>
    <mergeCell ref="B40:B43"/>
    <mergeCell ref="C40:C43"/>
    <mergeCell ref="I40:I43"/>
    <mergeCell ref="J40:J43"/>
    <mergeCell ref="K40:K43"/>
    <mergeCell ref="L40:L43"/>
    <mergeCell ref="M40:M43"/>
    <mergeCell ref="N40:N43"/>
    <mergeCell ref="A36:A39"/>
    <mergeCell ref="B36:B39"/>
    <mergeCell ref="C36:C39"/>
    <mergeCell ref="I36:I39"/>
    <mergeCell ref="J36:J39"/>
    <mergeCell ref="K36:K39"/>
    <mergeCell ref="L36:L39"/>
    <mergeCell ref="M36:M39"/>
    <mergeCell ref="N36:N39"/>
    <mergeCell ref="A32:A35"/>
    <mergeCell ref="B32:B35"/>
    <mergeCell ref="C32:C35"/>
    <mergeCell ref="I32:I35"/>
    <mergeCell ref="J32:J35"/>
    <mergeCell ref="K32:K35"/>
    <mergeCell ref="L32:L35"/>
    <mergeCell ref="M32:M35"/>
    <mergeCell ref="N32:N35"/>
    <mergeCell ref="A23:A25"/>
    <mergeCell ref="B23:B25"/>
    <mergeCell ref="C23:C25"/>
    <mergeCell ref="I23:I25"/>
    <mergeCell ref="J23:J25"/>
    <mergeCell ref="K23:K25"/>
    <mergeCell ref="L23:L25"/>
    <mergeCell ref="M23:M25"/>
    <mergeCell ref="N23:N25"/>
    <mergeCell ref="A20:A22"/>
    <mergeCell ref="B20:B22"/>
    <mergeCell ref="C20:C22"/>
    <mergeCell ref="I20:I22"/>
    <mergeCell ref="J20:J22"/>
    <mergeCell ref="K20:K22"/>
    <mergeCell ref="L20:L22"/>
    <mergeCell ref="M20:M22"/>
    <mergeCell ref="N20:N22"/>
    <mergeCell ref="A17:A19"/>
    <mergeCell ref="B17:B19"/>
    <mergeCell ref="C17:C19"/>
    <mergeCell ref="I17:I19"/>
    <mergeCell ref="J17:J19"/>
    <mergeCell ref="K17:K19"/>
    <mergeCell ref="L17:L19"/>
    <mergeCell ref="M17:M19"/>
    <mergeCell ref="N17:N19"/>
    <mergeCell ref="A14:A16"/>
    <mergeCell ref="B14:B16"/>
    <mergeCell ref="C14:C16"/>
    <mergeCell ref="I14:I16"/>
    <mergeCell ref="J14:J16"/>
    <mergeCell ref="K14:K16"/>
    <mergeCell ref="L14:L16"/>
    <mergeCell ref="M14:M16"/>
    <mergeCell ref="N14:N16"/>
    <mergeCell ref="A11:A13"/>
    <mergeCell ref="B11:B13"/>
    <mergeCell ref="C11:C13"/>
    <mergeCell ref="I11:I13"/>
    <mergeCell ref="J11:J13"/>
    <mergeCell ref="K11:K13"/>
    <mergeCell ref="L11:L13"/>
    <mergeCell ref="M11:M13"/>
    <mergeCell ref="N11:N13"/>
    <mergeCell ref="A8:A10"/>
    <mergeCell ref="B8:B10"/>
    <mergeCell ref="C8:C10"/>
    <mergeCell ref="I8:I10"/>
    <mergeCell ref="J8:J10"/>
    <mergeCell ref="K8:K10"/>
    <mergeCell ref="L8:L10"/>
    <mergeCell ref="M8:M10"/>
    <mergeCell ref="N8:N10"/>
    <mergeCell ref="N2:N4"/>
    <mergeCell ref="A5:A7"/>
    <mergeCell ref="B5:B7"/>
    <mergeCell ref="C5:C7"/>
    <mergeCell ref="I5:I7"/>
    <mergeCell ref="J5:J7"/>
    <mergeCell ref="K5:K7"/>
    <mergeCell ref="L5:L7"/>
    <mergeCell ref="M5:M7"/>
    <mergeCell ref="N5:N7"/>
    <mergeCell ref="E1:F1"/>
    <mergeCell ref="A2:A4"/>
    <mergeCell ref="B2:B4"/>
    <mergeCell ref="C2:C4"/>
    <mergeCell ref="I2:I4"/>
    <mergeCell ref="J2:J4"/>
    <mergeCell ref="K2:K4"/>
    <mergeCell ref="L2:L4"/>
    <mergeCell ref="M2:M4"/>
  </mergeCells>
  <pageMargins left="0.7" right="0.7" top="0.75" bottom="0.75" header="0.511811023622047" footer="0.511811023622047"/>
  <pageSetup paperSize="9" scale="62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36"/>
  <sheetViews>
    <sheetView topLeftCell="A7" zoomScale="90" zoomScaleNormal="90" workbookViewId="0">
      <selection activeCell="A35" sqref="A35:A36"/>
    </sheetView>
  </sheetViews>
  <sheetFormatPr defaultColWidth="8.46484375" defaultRowHeight="14.25" x14ac:dyDescent="0.45"/>
  <cols>
    <col min="1" max="1" width="19.1328125" customWidth="1"/>
    <col min="2" max="2" width="13.1328125" style="161" customWidth="1"/>
  </cols>
  <sheetData>
    <row r="1" spans="1:2" ht="14.25" customHeight="1" x14ac:dyDescent="0.45">
      <c r="A1" s="162" t="s">
        <v>209</v>
      </c>
      <c r="B1" s="163"/>
    </row>
    <row r="2" spans="1:2" ht="14.25" customHeight="1" x14ac:dyDescent="0.45">
      <c r="A2" s="162" t="s">
        <v>210</v>
      </c>
      <c r="B2" s="163"/>
    </row>
    <row r="3" spans="1:2" ht="14.25" customHeight="1" x14ac:dyDescent="0.45">
      <c r="A3" s="162" t="s">
        <v>211</v>
      </c>
    </row>
    <row r="4" spans="1:2" ht="14.25" customHeight="1" x14ac:dyDescent="0.45">
      <c r="A4" s="162" t="s">
        <v>212</v>
      </c>
    </row>
    <row r="5" spans="1:2" ht="14.25" customHeight="1" x14ac:dyDescent="0.45">
      <c r="A5" s="162" t="s">
        <v>213</v>
      </c>
    </row>
    <row r="6" spans="1:2" ht="14.25" customHeight="1" x14ac:dyDescent="0.45">
      <c r="A6" s="162" t="s">
        <v>214</v>
      </c>
    </row>
    <row r="7" spans="1:2" ht="14.25" customHeight="1" x14ac:dyDescent="0.45">
      <c r="A7" s="162" t="s">
        <v>215</v>
      </c>
    </row>
    <row r="8" spans="1:2" ht="14.25" customHeight="1" x14ac:dyDescent="0.45">
      <c r="A8" s="162" t="s">
        <v>216</v>
      </c>
    </row>
    <row r="9" spans="1:2" ht="14.25" customHeight="1" x14ac:dyDescent="0.45">
      <c r="A9" s="162" t="s">
        <v>217</v>
      </c>
    </row>
    <row r="10" spans="1:2" ht="14.25" customHeight="1" x14ac:dyDescent="0.45">
      <c r="A10" s="162" t="s">
        <v>218</v>
      </c>
      <c r="B10" s="163"/>
    </row>
    <row r="11" spans="1:2" ht="14.25" customHeight="1" x14ac:dyDescent="0.45">
      <c r="A11" s="162" t="s">
        <v>219</v>
      </c>
    </row>
    <row r="12" spans="1:2" ht="14.25" customHeight="1" x14ac:dyDescent="0.45">
      <c r="A12" s="162" t="s">
        <v>220</v>
      </c>
      <c r="B12" s="163"/>
    </row>
    <row r="13" spans="1:2" ht="14.25" customHeight="1" x14ac:dyDescent="0.45">
      <c r="A13" s="162" t="s">
        <v>221</v>
      </c>
      <c r="B13" s="163"/>
    </row>
    <row r="14" spans="1:2" ht="14.25" customHeight="1" x14ac:dyDescent="0.45">
      <c r="A14" s="162" t="s">
        <v>222</v>
      </c>
      <c r="B14" s="163"/>
    </row>
    <row r="15" spans="1:2" ht="14.25" customHeight="1" x14ac:dyDescent="0.45">
      <c r="A15" s="162" t="s">
        <v>223</v>
      </c>
    </row>
    <row r="16" spans="1:2" ht="14.25" customHeight="1" x14ac:dyDescent="0.45">
      <c r="A16" s="162" t="s">
        <v>224</v>
      </c>
      <c r="B16" s="163"/>
    </row>
    <row r="17" spans="1:2" ht="14.25" customHeight="1" x14ac:dyDescent="0.45">
      <c r="A17" s="162" t="s">
        <v>225</v>
      </c>
      <c r="B17" s="163"/>
    </row>
    <row r="18" spans="1:2" ht="14.25" customHeight="1" x14ac:dyDescent="0.45">
      <c r="A18" s="162" t="s">
        <v>227</v>
      </c>
      <c r="B18" s="163"/>
    </row>
    <row r="19" spans="1:2" ht="14.25" customHeight="1" x14ac:dyDescent="0.45">
      <c r="A19" s="162" t="s">
        <v>228</v>
      </c>
      <c r="B19" s="163"/>
    </row>
    <row r="20" spans="1:2" ht="14.25" customHeight="1" x14ac:dyDescent="0.45">
      <c r="A20" s="162" t="s">
        <v>229</v>
      </c>
      <c r="B20" s="163"/>
    </row>
    <row r="21" spans="1:2" ht="14.25" customHeight="1" x14ac:dyDescent="0.45">
      <c r="A21" s="162" t="s">
        <v>230</v>
      </c>
    </row>
    <row r="22" spans="1:2" ht="14.25" customHeight="1" x14ac:dyDescent="0.45">
      <c r="A22" s="162" t="s">
        <v>231</v>
      </c>
    </row>
    <row r="23" spans="1:2" ht="14.25" customHeight="1" x14ac:dyDescent="0.45">
      <c r="A23" s="162" t="s">
        <v>232</v>
      </c>
    </row>
    <row r="24" spans="1:2" ht="14.25" customHeight="1" x14ac:dyDescent="0.45">
      <c r="A24" s="162" t="s">
        <v>233</v>
      </c>
    </row>
    <row r="25" spans="1:2" ht="14.25" customHeight="1" x14ac:dyDescent="0.45">
      <c r="A25" s="162" t="s">
        <v>234</v>
      </c>
    </row>
    <row r="26" spans="1:2" ht="14.25" customHeight="1" x14ac:dyDescent="0.45">
      <c r="A26" s="162" t="s">
        <v>235</v>
      </c>
    </row>
    <row r="27" spans="1:2" ht="14.25" customHeight="1" x14ac:dyDescent="0.45">
      <c r="A27" s="162" t="s">
        <v>236</v>
      </c>
    </row>
    <row r="28" spans="1:2" ht="14.25" customHeight="1" x14ac:dyDescent="0.45">
      <c r="A28" s="162" t="s">
        <v>237</v>
      </c>
    </row>
    <row r="29" spans="1:2" ht="14.25" customHeight="1" x14ac:dyDescent="0.45">
      <c r="A29" s="162" t="s">
        <v>238</v>
      </c>
    </row>
    <row r="30" spans="1:2" ht="14.25" customHeight="1" x14ac:dyDescent="0.45">
      <c r="A30" s="162" t="s">
        <v>239</v>
      </c>
    </row>
    <row r="31" spans="1:2" ht="14.65" customHeight="1" x14ac:dyDescent="0.45">
      <c r="A31" s="162" t="s">
        <v>240</v>
      </c>
    </row>
    <row r="32" spans="1:2" x14ac:dyDescent="0.45">
      <c r="A32" s="162" t="s">
        <v>241</v>
      </c>
    </row>
    <row r="33" spans="1:1" x14ac:dyDescent="0.45">
      <c r="A33" s="162" t="s">
        <v>242</v>
      </c>
    </row>
    <row r="34" spans="1:1" x14ac:dyDescent="0.45">
      <c r="A34" s="162" t="s">
        <v>243</v>
      </c>
    </row>
    <row r="35" spans="1:1" x14ac:dyDescent="0.45">
      <c r="A35" s="162" t="s">
        <v>244</v>
      </c>
    </row>
    <row r="36" spans="1:1" x14ac:dyDescent="0.45">
      <c r="A36" s="162" t="s">
        <v>244</v>
      </c>
    </row>
  </sheetData>
  <pageMargins left="0.7" right="0.7" top="0.75" bottom="0.75" header="0.511811023622047" footer="0.511811023622047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Manufacturing_Plan</vt:lpstr>
      <vt:lpstr>Connection_Plan</vt:lpstr>
      <vt:lpstr>Soldering_Plan</vt:lpstr>
      <vt:lpstr>P_touch_Labelling</vt:lpstr>
      <vt:lpstr>Anemometer</vt:lpstr>
      <vt:lpstr>Connection_Plan!Print_Area</vt:lpstr>
      <vt:lpstr>Manufacturing_Plan!Print_Area</vt:lpstr>
      <vt:lpstr>Soldering_Plan!Print_Area</vt:lpstr>
      <vt:lpstr>Soldering_Plan!Print_Titles</vt:lpstr>
      <vt:lpstr>Temperature_sensor</vt:lpstr>
      <vt:lpstr>Wind_vane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Vanessa</dc:creator>
  <dc:description/>
  <cp:lastModifiedBy>Vanessa Zeron</cp:lastModifiedBy>
  <cp:revision>1</cp:revision>
  <cp:lastPrinted>2024-05-16T08:51:19Z</cp:lastPrinted>
  <dcterms:created xsi:type="dcterms:W3CDTF">2006-09-16T00:00:00Z</dcterms:created>
  <dcterms:modified xsi:type="dcterms:W3CDTF">2024-05-16T09:02:31Z</dcterms:modified>
  <dc:language>en-US</dc:language>
</cp:coreProperties>
</file>